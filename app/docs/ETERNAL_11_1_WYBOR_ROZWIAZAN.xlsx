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ZYTAJ" sheetId="1" state="visible" r:id="rId3"/>
    <sheet name="W1_WYBOR" sheetId="2" state="visible" r:id="rId4"/>
    <sheet name="W2_KOMPONENTY" sheetId="3" state="visible" r:id="rId5"/>
    <sheet name="W3_FUNKCJE_MVP" sheetId="4" state="visible" r:id="rId6"/>
    <sheet name="W4_KOSZTY" sheetId="5" state="visible" r:id="rId7"/>
    <sheet name="W5_ZMIANY_RYNKU" sheetId="6" state="visible" r:id="rId8"/>
    <sheet name="W6_ZRODLA" sheetId="7" state="visible" r:id="rId9"/>
  </sheets>
  <definedNames>
    <definedName function="false" hidden="true" localSheetId="1" name="_xlnm._FilterDatabase" vbProcedure="false">W1_WYBOR!$A$5:$W$73</definedName>
    <definedName function="false" hidden="true" localSheetId="2" name="_xlnm._FilterDatabase" vbProcedure="false">W2_KOMPONENTY!$A$5:$M$22</definedName>
    <definedName function="false" hidden="true" localSheetId="3" name="_xlnm._FilterDatabase" vbProcedure="false">W3_FUNKCJE_MVP!$A$5:$S$256</definedName>
    <definedName function="false" hidden="true" localSheetId="5" name="_xlnm._FilterDatabase" vbProcedure="false">W5_ZMIANY_RYNKU!$A$5:$H$29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<sst xmlns="http://schemas.openxmlformats.org/spreadsheetml/2006/main" count="5404" uniqueCount="2679">
  <si>
    <t xml:space="preserve">ETERNAL 11.1 — WYBÓR ROZWIĄZAŃ RYNKOWYCH DLA FUNKCJI MVP</t>
  </si>
  <si>
    <t xml:space="preserve">Skoroszyt towarzyszący plikowi ETERNAL_11_1_FUNKCJE.xlsx. Stan rynku sprawdzony 4 i 14 października 2026 r.</t>
  </si>
  <si>
    <t xml:space="preserve">1. Do czego służy</t>
  </si>
  <si>
    <t xml:space="preserve">Dla każdej funkcji MVP z pliku 11.1 wskazuje gotowe rozwiązanie z rynku (open source, bezpłatne, płatne z UE/PL, płatne globalne), wybór na każdy etap (Demo, MVP, MLP, FINAL) i to, co budujemy sami obok, żeby korzystać z gotowych rozwiązań, ale je kontrolować.</t>
  </si>
  <si>
    <t xml:space="preserve">Wybory sprawdzono w sieci (ceny, licencje, dostępność w UE, zmiany 2025–2026) i porównano z ★ z pliku 11.1, gdzie „Stan sprawdzenia” brzmiał „niesprawdzone”.</t>
  </si>
  <si>
    <t xml:space="preserve">2. Arkusze</t>
  </si>
  <si>
    <t xml:space="preserve">W1_WYBOR</t>
  </si>
  <si>
    <t xml:space="preserve">Zdolność → opcje open source / bezpłatne / płatne → ★ na każdy etap, uzasadnienie, nasza warstwa, wyzwalacz zmiany, łatwość wyjścia, zgodność, stan w aplikacji, źródła.</t>
  </si>
  <si>
    <t xml:space="preserve">W2_KOMPONENTY</t>
  </si>
  <si>
    <t xml:space="preserve">Wspólne komponenty techniczne (aplikacja mobilna, baza, kolejki, brama modeli, obserwowalność, CI, klucze, kopie) — spójne z działającą aplikacją Eternal.</t>
  </si>
  <si>
    <t xml:space="preserve">W3_FUNKCJE_MVP</t>
  </si>
  <si>
    <t xml:space="preserve">Każda funkcja MVP z pliku 11.1 (kod jak w Z1) → ID wyboru; kolumny z W1 liczą się formułami. Kolumna R: uwagi tylko dla tej funkcji (np. granica MDR).</t>
  </si>
  <si>
    <t xml:space="preserve">W4_KOSZTY</t>
  </si>
  <si>
    <t xml:space="preserve">Koszt zewnętrzny wybranych usług na etapach przy założonej skali; założenia i ceny do edycji (niebieskie), wyniki formułami.</t>
  </si>
  <si>
    <t xml:space="preserve">W5_ZMIANY_RYNKU</t>
  </si>
  <si>
    <t xml:space="preserve">Zdarzenia z rynku i prawa, które zmieniły wybór względem pliku (np. wycofanie OpenEvidence z UE, nowe zasady API Strava, AI Omnibus).</t>
  </si>
  <si>
    <t xml:space="preserve">W6_ZRODLA</t>
  </si>
  <si>
    <t xml:space="preserve">Źródła z datą sprawdzenia; lista rzeczy niesprawdzonych.</t>
  </si>
  <si>
    <t xml:space="preserve">3. Etapy</t>
  </si>
  <si>
    <t xml:space="preserve">DEMO (IV kw. 2026)</t>
  </si>
  <si>
    <t xml:space="preserve">Prototyp na danych zespołu i danych syntetycznych; zero opłat stałych; to, co już działa w aplikacji Eternal (app/).</t>
  </si>
  <si>
    <t xml:space="preserve">MVP — pierwsze wydanie</t>
  </si>
  <si>
    <t xml:space="preserve">Pierwsze wydanie produktu wg pliku (Z7, „Wydanie produktu”): dla produktów 2027 — rok 2027; dla produktów z pierwszym wydaniem w 2028 (np. Wellness) — 2028.</t>
  </si>
  <si>
    <t xml:space="preserve">MLP (2028+)</t>
  </si>
  <si>
    <t xml:space="preserve">Skala i pakiety płatne: usługi zarządzane tam, gdzie utrzymanie własne przestaje się opłacać; partnerzy z CE.</t>
  </si>
  <si>
    <t xml:space="preserve">FINAL (2029–2030)</t>
  </si>
  <si>
    <t xml:space="preserve">Wiele krajów, suwerenność danych, modele własne/otwarte tam, gdzie wolumen to uzasadnia.</t>
  </si>
  <si>
    <t xml:space="preserve">4. Model: korzystamy z gotowych i kontrolujemy</t>
  </si>
  <si>
    <t xml:space="preserve">Rdzeń danych — open source u nas, w UE</t>
  </si>
  <si>
    <t xml:space="preserve">Rekord FHIR (Medplum), tożsamość (Keycloak), zgody, dziennik zdarzeń, uprawnienia — tu jest wartość i ryzyko, więc nie oddajemy ich dostawcy.</t>
  </si>
  <si>
    <t xml:space="preserve">Silniki-towary — kupujemy za naszym adapterem</t>
  </si>
  <si>
    <t xml:space="preserve">OCR, modele językowe, transkrypcja, SMS, e-mail, push: zawsze przez naszą warstwę z drugim dostawcą w odwodzie (łatwość wyjścia 5).</t>
  </si>
  <si>
    <t xml:space="preserve">Funkcje będące wyrobem medycznym — partner z CE</t>
  </si>
  <si>
    <t xml:space="preserve">Interpretacja wyników, triaż, alarmy, wykrywanie upadków: robi partner z certyfikatem, my pokazujemy wynik z oznaczeniem źródła.</t>
  </si>
  <si>
    <t xml:space="preserve">Dane publiczne — bezpłatnie, kopia u nas</t>
  </si>
  <si>
    <t xml:space="preserve">RPL, NFZ, GIOŚ, IMGW, LOINC, ICD, Open Food Facts.</t>
  </si>
  <si>
    <t xml:space="preserve">Budujemy sami tylko przewagę</t>
  </si>
  <si>
    <t xml:space="preserve">Polski parser wyników, zgody i udostępnienia, raport dla lekarza, panel placówki, ścieżka kryzysowa — tego nie ma na rynku albo to nasz wyróżnik.</t>
  </si>
  <si>
    <t xml:space="preserve">5. Kolumna „Zmiana względem pliku 11.1”</t>
  </si>
  <si>
    <t xml:space="preserve">BEZ ZMIAN</t>
  </si>
  <si>
    <t xml:space="preserve">★ z pliku potwierdzony.</t>
  </si>
  <si>
    <t xml:space="preserve">DOPRECYZOWANIE</t>
  </si>
  <si>
    <t xml:space="preserve">Ten sam dostawca, ale inny etap, sposób wdrożenia albo rola (np. Medplum na własnej infrastrukturze zamiast hostowanego).</t>
  </si>
  <si>
    <t xml:space="preserve">ZMIANA</t>
  </si>
  <si>
    <t xml:space="preserve">Inny wybór, bo na 10.2026 jest lepsze rozwiązanie dla wymagań (koszt wyjścia, region UE, język polski, licencja, zasady stałe).</t>
  </si>
  <si>
    <t xml:space="preserve">ZMIANA — WYMUSZONA RYNKIEM</t>
  </si>
  <si>
    <t xml:space="preserve">★ z pliku przestał być dostępny lub dopuszczalny (wycofanie z UE, zmiana regulaminu API).</t>
  </si>
  <si>
    <t xml:space="preserve">6. Najważniejsze decyzje</t>
  </si>
  <si>
    <t xml:space="preserve">• Tożsamość: Keycloak u nas zamiast Amazon Cognito — brak opłat za użytkownika i brak blokady (Cognito nie eksportuje skrótów haseł).</t>
  </si>
  <si>
    <t xml:space="preserve">• Asystent wiedzy: OpenEvidence wycofał się z UE (28.04.2026) → DR.INFO dla lekarzy; dla pacjenta własny asystent na treściach redakcyjnych.</t>
  </si>
  <si>
    <t xml:space="preserve">• Transkrypcja i Scribe: Corti nie obsługuje polskiego, OpenAI bez potwierdzonej rezydencji UE → ElevenLabs Scribe (UE) + Claude przez Bedrock UE + zatwierdzenie lekarza.</t>
  </si>
  <si>
    <t xml:space="preserve">• Dane sportowe: Strava zakazuje użycia danych w AI, Garmin wstrzymał nabór → dane z systemu telefonu + Open Wearables (MIT), Thryve od MLP.</t>
  </si>
  <si>
    <t xml:space="preserve">• OCR: najpierw warstwa tekstowa PDF (0 zł), skany przez Mistral OCR 4 (UE); Google Document AI jako zamiennik.</t>
  </si>
  <si>
    <t xml:space="preserve">• Rezerwacje: nasz silnik terminów jest rdzeniem; ZnanyLekarz jako kanał przez Docplanner Integrations API.</t>
  </si>
  <si>
    <t xml:space="preserve">• E-recepty: wystawia system gabinetowy placówki (MyDr, Medfile, KS-SOMED, mMedica, gabinet.gov.pl); konektor P1 dopiero, gdy Eternal Doctor stanie się systemem placówki.</t>
  </si>
  <si>
    <t xml:space="preserve">• Bezpieczeństwo łańcucha dostaw: po kompromitacji Trivy (03.2026) — Grype/OSV-Scanner + Syft, akcje CI przypięte do skrótu.</t>
  </si>
  <si>
    <t xml:space="preserve">• Rekord zdrowia: Medplum na własnej infrastrukturze w UE (hostowany: od 2 000 USD/mies., region UE niepotwierdzony).</t>
  </si>
  <si>
    <t xml:space="preserve">• Suplementy partnera i odznaki NFT — wyłączone z MVP: konflikt z zasadami stałymi (sterowanie zakupami, tokeny pieniężne).</t>
  </si>
  <si>
    <t xml:space="preserve">7. Liczby (liczone formułami z W1 i W3)</t>
  </si>
  <si>
    <t xml:space="preserve">Funkcje MVP w W3 (wszystkie wydania)</t>
  </si>
  <si>
    <t xml:space="preserve">— w tym MVP produktu (2027)</t>
  </si>
  <si>
    <t xml:space="preserve">— w tym MVP produktu (2028)</t>
  </si>
  <si>
    <t xml:space="preserve">— w tym MVP produktu (2029–2030)</t>
  </si>
  <si>
    <t xml:space="preserve">Zdolności i moduły w W1</t>
  </si>
  <si>
    <t xml:space="preserve">— zdolności: ZMIANA — WYMUSZONA RYNKIEM</t>
  </si>
  <si>
    <t xml:space="preserve">— zdolności: ZMIANA</t>
  </si>
  <si>
    <t xml:space="preserve">— zdolności: DOPRECYZOWANIE</t>
  </si>
  <si>
    <t xml:space="preserve">— zdolności: BEZ ZMIAN</t>
  </si>
  <si>
    <t xml:space="preserve">Funkcje MVP, których dotyczy zmiana wyboru (ZMIANA lub ZMIANA — WYMUSZONA)</t>
  </si>
  <si>
    <t xml:space="preserve">Funkcje MVP z uwagą szczegółową (kolumna R)</t>
  </si>
  <si>
    <t xml:space="preserve">Koszt zewnętrzny MVP (zł/mies., W4)</t>
  </si>
  <si>
    <t xml:space="preserve">Przy założeniach z W4, sekcja B — do edycji.</t>
  </si>
  <si>
    <t xml:space="preserve">Koszt zewnętrzny MLP (zł/mies., W4)</t>
  </si>
  <si>
    <t xml:space="preserve">8. Zasady stałe z pliku 11.1 zastosowane przy wyborze</t>
  </si>
  <si>
    <t xml:space="preserve">Bez sprzedaży danych o zdrowiu, bez reklam, bez cen zależnych od danych o zdrowiu; bez korzyści za zakup leków, bez sprzedaży i dostawy leków na receptę, bez płatnego kierowania pacjentów; bez nazwy „lekarz AI”, bez własnych mieszanek w dozowniku, bez tokenów pieniężnych, bez sterowania zachowaniem.</t>
  </si>
  <si>
    <t xml:space="preserve">Skutek: wyłączone z MVP automatyczne sugestie suplementów partnera (A7.3, A7.4) i odznaki NFT (F15.15); analityka produktu bez danych o zdrowiu i bez reklam (W2, K-10).</t>
  </si>
  <si>
    <t xml:space="preserve">9. Ograniczenia</t>
  </si>
  <si>
    <t xml:space="preserve">Ceny i warunki zmieniają się — przed umową potwierdzić u dostawcy (źródła wtórne oznaczone w W6). Pozycje z dopiskiem ZAŁOŻENIE nie mają potwierdzenia w źródle.</t>
  </si>
  <si>
    <t xml:space="preserve">Kwalifikacja MDR i AI Act w kolumnach „Zgodność” to wskazanie ryzyka, nie opinia prawna — formalną kwalifikację przygotowuje kancelaria (W-39), a dokumenty regulacyjne — komenda /dokument.</t>
  </si>
  <si>
    <t xml:space="preserve">Funkcje z wydaniem 2029–2030 (Pet, genetyka, Capsule, VR) przepisano z pliku bez weryfikacji rynku — sprawdzić w 2028.</t>
  </si>
  <si>
    <t xml:space="preserve">10. Jak połączyć z plikiem 11.1</t>
  </si>
  <si>
    <t xml:space="preserve">Kolumna A arkusza W3 (Kod) odpowiada kolumnie A arkusza Z1_KARTY_FUNKCJI_648. Po skopiowaniu arkuszy W1 i W3 do pliku 11.1 formuły w W3 działają bez zmian (odwołują się do W1_WYBOR); w Z1 można dodać kolumnę z INDEX/MATCH po kodzie.</t>
  </si>
  <si>
    <t xml:space="preserve">W1 — WYBÓR ROZWIĄZANIA DLA KAŻDEJ ZDOLNOŚCI I ETAPU (stan rynku: 10.2026)</t>
  </si>
  <si>
    <t xml:space="preserve">Jeden wiersz = jedna zdolność rynkowa z pliku 11.1 (Z1, kolumna „Co kupujemy”). Kolumny ★ to wybór na etap; „Zmiana” porównuje z ★ w pliku 11.1.</t>
  </si>
  <si>
    <t xml:space="preserve">Kolory „Zmiana”: zielony = bez zmian, żółty = doprecyzowanie, pomarańczowy = zmiana, ciemniejszy = zmiana wymuszona rynkiem. Łatwość wyjścia: 5 = wymiana bez przepisywania, 1 = trwałe uzależnienie. Liczba funkcji MVP liczy się z arkusza W3.</t>
  </si>
  <si>
    <t xml:space="preserve">ID wyboru</t>
  </si>
  <si>
    <t xml:space="preserve">Zdolność / moduł</t>
  </si>
  <si>
    <t xml:space="preserve">Zdolność w pliku 11.1 (Z1, kol. „Co kupujemy”)</t>
  </si>
  <si>
    <t xml:space="preserve">Funkcje zbiorcze (nr Z3)</t>
  </si>
  <si>
    <t xml:space="preserve">Funkcji MVP (z W3)</t>
  </si>
  <si>
    <t xml:space="preserve">Model budowy: korzystamy i kontrolujemy</t>
  </si>
  <si>
    <t xml:space="preserve">Open source — najlepsze opcje</t>
  </si>
  <si>
    <t xml:space="preserve">Bezpłatne (publiczne dane, plany bezpłatne, funkcje systemu)</t>
  </si>
  <si>
    <t xml:space="preserve">Płatne — dostawcy z UE / Polski</t>
  </si>
  <si>
    <t xml:space="preserve">Płatne — dostawcy globalni</t>
  </si>
  <si>
    <t xml:space="preserve">★ DEMO (IV kw. 2026)</t>
  </si>
  <si>
    <t xml:space="preserve">★ MVP (2027)</t>
  </si>
  <si>
    <t xml:space="preserve">★ MLP (2028)</t>
  </si>
  <si>
    <t xml:space="preserve">★ FINAL (2029–2030)</t>
  </si>
  <si>
    <t xml:space="preserve">★ w pliku 11.1</t>
  </si>
  <si>
    <t xml:space="preserve">Zmiana względem pliku 11.1</t>
  </si>
  <si>
    <t xml:space="preserve">Dlaczego ten wybór (stan na 10.2026)</t>
  </si>
  <si>
    <t xml:space="preserve">Nasza warstwa — co budujemy i kontrolujemy obok</t>
  </si>
  <si>
    <t xml:space="preserve">Wyzwalacz zmiany / przejścia etapu</t>
  </si>
  <si>
    <t xml:space="preserve">Łatwość wyjścia (1–5)</t>
  </si>
  <si>
    <t xml:space="preserve">Zgodność i ryzyko (RODO, MDR, AI Act, licencja)</t>
  </si>
  <si>
    <t xml:space="preserve">Stan w działającej aplikacji Eternal (app/)</t>
  </si>
  <si>
    <t xml:space="preserve">Stan sprawdzenia i źródła (arkusz W6)</t>
  </si>
  <si>
    <t xml:space="preserve">W-01</t>
  </si>
  <si>
    <t xml:space="preserve">Tożsamość, logowanie i sesje</t>
  </si>
  <si>
    <t xml:space="preserve">Serwer albo usługa tożsamości (konto, logowanie, sesje, drugi składnik, klucze dostępu)</t>
  </si>
  <si>
    <t xml:space="preserve">1</t>
  </si>
  <si>
    <t xml:space="preserve">BIERZEMY OPEN SOURCE + nasza warstwa</t>
  </si>
  <si>
    <t xml:space="preserve">Keycloak 26 (Apache 2.0, CNCF); Ory Kratos/Hydra (Apache 2.0); Zitadel (od v3 AGPL-3.0)</t>
  </si>
  <si>
    <t xml:space="preserve">Amazon Cognito Lite/Essentials — 0 zł do 10 000 aktywnych użytkowników/mies.; Zitadel Cloud Free (100 aktywnych dziennie)</t>
  </si>
  <si>
    <t xml:space="preserve">Zitadel Cloud Pro (region UE/CH; 100 USD/mies. do 25 tys. aktywnych dziennie)</t>
  </si>
  <si>
    <t xml:space="preserve">Amazon Cognito Essentials (0,015 USD za aktywnego &gt;10 tys.); Microsoft Entra External ID; Auth0</t>
  </si>
  <si>
    <t xml:space="preserve">Obecny moduł logowania aplikacji Eternal (e-mail + hasło, TOTP, sesje) — 0 zł</t>
  </si>
  <si>
    <t xml:space="preserve">Keycloak w naszej chmurze UE jako dostawca OIDC: klucze dostępu (WebAuthn/FIDO2), logowanie Apple/Google, TOTP, link e-mail, sesje i urządzenia; PIN i biometria lokalnie w aplikacji mobilnej</t>
  </si>
  <si>
    <t xml:space="preserve">Keycloak w klastrze (wysoka dostępność); organizacje = placówki; SMS jako drugi składnik tylko awaryjnie</t>
  </si>
  <si>
    <t xml:space="preserve">Keycloak + EUDI Wallet i login.gov.pl jako zewnętrzni dostawcy tożsamości</t>
  </si>
  <si>
    <t xml:space="preserve">Amazon Cognito (6)</t>
  </si>
  <si>
    <t xml:space="preserve">Decyduje kontrola i koszt wyjścia, nie cena: na MVP oba warianty kosztują podobnie (Cognito bezpłatny do 10 tys. aktywnych), przy 150 tys. aktywnych Cognito to ok. 7,8 tys. zł/mies. (W4, sekcja E). Cognito nie pozwala wyeksportować skrótów haseł (wyjście = reset haseł albo migracja przy logowaniu) — najwyższy koszt zmiany w całym stosie. Keycloak: dane logowania w naszej chmurze UE, standard OIDC. Cognito zostaje zapasem, gdy zespół nie utrzyma serwera.</t>
  </si>
  <si>
    <t xml:space="preserve">Powiązanie konta z rekordem FHIR (Patient/Practitioner), role, zgody, polityka sesji i urządzeń (max 5), dziennik logowań widoczny dla użytkownika, kody odzyskiwania, PIN w aplikacji</t>
  </si>
  <si>
    <t xml:space="preserve">&gt;50 tys. aktywnych albo wymóg SLA 99,9% → klaster lub usługa zarządzana Keycloak; dostępny EUDI Wallet → dodać dostawcę</t>
  </si>
  <si>
    <t xml:space="preserve">Dane logowania w UE; OWASP ASVS L2; MFA obowiązkowe dla personelu; Zitadel AGPL — sprawdzić skutki licencji przy modyfikacjach</t>
  </si>
  <si>
    <t xml:space="preserve">Zaimplementowane własne logowanie (scrypt, TOTP z ochroną przed powtórzeniem, sesje, CSRF, HIBP); do podłączenia jako klient OIDC</t>
  </si>
  <si>
    <t xml:space="preserve">sprawdzone 04.10.2026 [Z01, Z17, Z72]</t>
  </si>
  <si>
    <t xml:space="preserve">W-02</t>
  </si>
  <si>
    <t xml:space="preserve">Bramka SMS</t>
  </si>
  <si>
    <t xml:space="preserve">1, 8</t>
  </si>
  <si>
    <t xml:space="preserve">KUPUJEMY USŁUGĘ + nasza warstwa</t>
  </si>
  <si>
    <t xml:space="preserve">— (bramka to usługa operatora)</t>
  </si>
  <si>
    <t xml:space="preserve">Brak — na Demo e-mail zamiast SMS</t>
  </si>
  <si>
    <t xml:space="preserve">SMSAPI.pl (PL); SerwerSMS.pl (PL); OVHcloud SMS (FR; 0,109–0,135 zł netto/SMS)</t>
  </si>
  <si>
    <t xml:space="preserve">Twilio; Vonage; Bird</t>
  </si>
  <si>
    <t xml:space="preserve">E-mail zamiast SMS; konto testowe SMSAPI</t>
  </si>
  <si>
    <t xml:space="preserve">SMSAPI.pl (już podłączone w aplikacji) — wyłącznie kody i przypomnienia bez danych o zdrowiu</t>
  </si>
  <si>
    <t xml:space="preserve">SMSAPI.pl + zapasowy OVHcloud SMS (przełączanie w naszej warstwie kanałów)</t>
  </si>
  <si>
    <t xml:space="preserve">Dwóch dostawców na każdy kraj (warstwa krajowa)</t>
  </si>
  <si>
    <t xml:space="preserve">SMSAPI.pl (1)</t>
  </si>
  <si>
    <t xml:space="preserve">Polski dostawca, nadawca alfanumeryczny, umowa powierzenia po polsku; integracja gotowa. Twilio (F1.8) droższy i bez przewagi w PL.</t>
  </si>
  <si>
    <t xml:space="preserve">Abstrakcja kanału, szablony bez danych o zdrowiu, zgody na kanał, limity, kolejka z ponowieniami, przełączanie dostawcy</t>
  </si>
  <si>
    <t xml:space="preserve">Awaria lub zmiana cen → zapasowy dostawca; nowy kraj → dostawca lokalny</t>
  </si>
  <si>
    <t xml:space="preserve">Numer telefonu = dane osobowe (umowa powierzenia); treść bez informacji o zdrowiu</t>
  </si>
  <si>
    <t xml:space="preserve">Zaimplementowane: SMSAPI.pl i bramka webhook, normalizacja numerów</t>
  </si>
  <si>
    <t xml:space="preserve">sprawdzone 04.10.2026 [Z28]; cena SMSAPI niesprawdzona (strona zablokowana przez sieć)</t>
  </si>
  <si>
    <t xml:space="preserve">W-03</t>
  </si>
  <si>
    <t xml:space="preserve">Potwierdzenie tożsamości (KYC)</t>
  </si>
  <si>
    <t xml:space="preserve">— (komponent wspólny; brak funkcji MVP z tą zdolnością w Z1)</t>
  </si>
  <si>
    <t xml:space="preserve">POŚREDNICTWO PARTNERA + metody bezpłatne</t>
  </si>
  <si>
    <t xml:space="preserve">—</t>
  </si>
  <si>
    <t xml:space="preserve">Kod aktywacyjny wydany w placówce po okazaniu dokumentu; mObywatel — weryfikacja mDowodu (kod QR / 6 cyfr przez API mObywatel dla podmiotów)</t>
  </si>
  <si>
    <t xml:space="preserve">Authologic (PL; jedno API: bank, szybki przelew i BLIK z Przelewy24, mObywatel, e-dowód; cena na zapytanie); IDnow (DE)</t>
  </si>
  <si>
    <t xml:space="preserve">Veriff; Onfido (Entrust)</t>
  </si>
  <si>
    <t xml:space="preserve">Kod aktywacyjny z placówki (gotowe w aplikacji)</t>
  </si>
  <si>
    <t xml:space="preserve">Kod z placówki + mObywatel tam, gdzie pacjent go ma — 0 zł</t>
  </si>
  <si>
    <t xml:space="preserve">Authologic — zdalne potwierdzenie bez wizyty (pakiety B2C)</t>
  </si>
  <si>
    <t xml:space="preserve">EUDI Wallet + Authologic</t>
  </si>
  <si>
    <t xml:space="preserve">Authologic (Z3, funkcja zbiorcza 1, komponent 3)</t>
  </si>
  <si>
    <t xml:space="preserve">Na MVP pacjenci przychodzą przez placówki — tożsamość potwierdza placówka bez kosztu. Płatny KYC dopiero, gdy rośnie samodzielna rejestracja B2C.</t>
  </si>
  <si>
    <t xml:space="preserve">Poziom pewności tożsamości na koncie, powiązanie z PESEL, dziennik potwierdzeń</t>
  </si>
  <si>
    <t xml:space="preserve">Udział rejestracji B2C bez placówki &gt;30% → Authologic</t>
  </si>
  <si>
    <t xml:space="preserve">PESEL i dokument tożsamości — minimalizacja; nie przechowujemy skanów dokumentów</t>
  </si>
  <si>
    <t xml:space="preserve">Zaimplementowane: weryfikacja w placówce i kody aktywacyjne</t>
  </si>
  <si>
    <t xml:space="preserve">sprawdzone 14.10.2026 [Z18, Z67]; warunki API mObywatel do potwierdzenia</t>
  </si>
  <si>
    <t xml:space="preserve">W-04</t>
  </si>
  <si>
    <t xml:space="preserve">Uprawnienia i udostępnianie (kto, co, komu, na jak długo)</t>
  </si>
  <si>
    <t xml:space="preserve">Silnik uprawnień (kto, co, komu i na jak długo może pokazać)</t>
  </si>
  <si>
    <t xml:space="preserve">2, 31</t>
  </si>
  <si>
    <t xml:space="preserve">OpenFGA (Apache 2.0, CNCF incubating od 10.2025); Open Policy Agent (CNCF graduated); Cedar (Apache 2.0); SpiceDB (Apache 2.0)</t>
  </si>
  <si>
    <t xml:space="preserve">Zasady dostępu serwera FHIR (Medplum AccessPolicy) — w cenie serwera</t>
  </si>
  <si>
    <t xml:space="preserve">Auth0 FGA (Okta); AuthZed (SpiceDB); Amazon Verified Permissions (Cedar); Permit.io</t>
  </si>
  <si>
    <t xml:space="preserve">Reguły w kodzie + zasób Consent (gotowe)</t>
  </si>
  <si>
    <t xml:space="preserve">Zasady dostępu Medplum + nasz moduł udostępnień czasowych (FHIR Consent z okresem) — bez osobnego silnika</t>
  </si>
  <si>
    <t xml:space="preserve">OpenFGA dla relacji pacjent–opiekun–lekarz–placówka i dostępu czasowego</t>
  </si>
  <si>
    <t xml:space="preserve">OpenFGA + polityki OPA/Cedar dla reguł krajowych</t>
  </si>
  <si>
    <t xml:space="preserve">Open Policy Agent (OPA) (2)</t>
  </si>
  <si>
    <t xml:space="preserve">Model „kto komu i na jak długo” to relacje (ReBAC) — lepiej pasuje OpenFGA niż ogólny silnik polityk OPA. Na MVP wystarcza Medplum + Consent. Główni opiekunowie OPA przeszli do Apple (2025); projekt pozostaje w CNCF.</t>
  </si>
  <si>
    <t xml:space="preserve">Model zgód, okres udostępnienia, wycofanie, „kto oglądał”, testy reguł dostępu</t>
  </si>
  <si>
    <t xml:space="preserve">&gt;3 typy relacji (rodzina, opiekun, zespół kliniki) albo reguły krajowe → OpenFGA</t>
  </si>
  <si>
    <t xml:space="preserve">Art. 9 RODO — dostęp tylko na podstawie zgody/umowy; każdy odczyt w dzienniku</t>
  </si>
  <si>
    <t xml:space="preserve">Zaimplementowane: role, zgody FHIR Consent, udostępnianie wyników przez placówkę, potwierdzenia odczytu</t>
  </si>
  <si>
    <t xml:space="preserve">sprawdzone 04.10.2026 [Z39, Z40]</t>
  </si>
  <si>
    <t xml:space="preserve">W-05</t>
  </si>
  <si>
    <t xml:space="preserve">Niezmienialny dziennik zdarzeń</t>
  </si>
  <si>
    <t xml:space="preserve">Niezmienialny dziennik zdarzeń (kto, co, kiedy)</t>
  </si>
  <si>
    <t xml:space="preserve">2, 49</t>
  </si>
  <si>
    <t xml:space="preserve">WŁASNE na komponentach open source</t>
  </si>
  <si>
    <t xml:space="preserve">PostgreSQL (tabela tylko do dopisywania + łańcuch skrótów); immudb (Apache 2.0); Trillian / Sigstore Rekor (rejestr przejrzystości)</t>
  </si>
  <si>
    <t xml:space="preserve">Zasoby AuditEvent serwera FHIR</t>
  </si>
  <si>
    <t xml:space="preserve">Magazyn obiektów z blokadą zapisu (Object Lock): OVHcloud, Scaleway</t>
  </si>
  <si>
    <t xml:space="preserve">AWS S3 Object Lock (region UE); AWS QLDB — wycofany (nie wybierać)</t>
  </si>
  <si>
    <t xml:space="preserve">Łańcuch HMAC w bazie aplikacji (gotowe)</t>
  </si>
  <si>
    <t xml:space="preserve">PostgreSQL tylko do dopisywania + łańcuch HMAC + codzienny eksport do magazynu z blokadą zapisu w UE</t>
  </si>
  <si>
    <t xml:space="preserve">+ codzienna kotwica skrótu poza naszą infrastrukturą</t>
  </si>
  <si>
    <t xml:space="preserve">+ rejestr przejrzystości (Trillian/Rekor) dla audytu zewnętrznego</t>
  </si>
  <si>
    <t xml:space="preserve">PostgreSQL z dziennikiem tylko do dopisywania + magazyn plików z blokadą zapisu (2)</t>
  </si>
  <si>
    <t xml:space="preserve">Zgodne z plikiem; gotowe w aplikacji; bez kosztów licencji.</t>
  </si>
  <si>
    <t xml:space="preserve">Format zdarzeń, weryfikacja łańcucha, widok „kto oglądał” dla pacjenta (A18.10)</t>
  </si>
  <si>
    <t xml:space="preserve">Wymóg audytora zewnętrznego → rejestr przejrzystości</t>
  </si>
  <si>
    <t xml:space="preserve">Rozliczalność RODO (art. 5 ust. 2); retencja dziennika zgodna z dokumentacją medyczną</t>
  </si>
  <si>
    <t xml:space="preserve">Zaimplementowane: dziennik z łańcuchem HMAC, wyzwalacze blokujące zmiany, weryfikacja z CLI</t>
  </si>
  <si>
    <t xml:space="preserve">wiedza ogólna; niesprawdzone w sieci 10.2026</t>
  </si>
  <si>
    <t xml:space="preserve">W-06</t>
  </si>
  <si>
    <t xml:space="preserve">Zgody i żądania RODO</t>
  </si>
  <si>
    <t xml:space="preserve">Platforma zgód i preferencji (zgody marketingowe, żądania RODO)</t>
  </si>
  <si>
    <t xml:space="preserve">2</t>
  </si>
  <si>
    <t xml:space="preserve">Zasób Consent FHIR (nasz rejestr); Fides (Ethyca, Apache 2.0) — mapa danych i żądania</t>
  </si>
  <si>
    <t xml:space="preserve">Didomi (FR); Usercentrics/Cookiebot (DE/DK) — tylko zgody marketingowe i cookies</t>
  </si>
  <si>
    <t xml:space="preserve">OneTrust</t>
  </si>
  <si>
    <t xml:space="preserve">Ekran zgody z wersją i datą (gotowe)</t>
  </si>
  <si>
    <t xml:space="preserve">Własny rejestr zgód (FHIR Consent z wersjami) + obsługa żądań RODO w panelu (eksport, usunięcie z potwierdzeniem)</t>
  </si>
  <si>
    <t xml:space="preserve">+ Usercentrics albo Didomi wyłącznie dla strony www (cookies), jeśli będzie marketing w sieci</t>
  </si>
  <si>
    <t xml:space="preserve">Jak MLP + rejestr zgód per kraj</t>
  </si>
  <si>
    <t xml:space="preserve">nie bierzemy jako rdzenia (2)</t>
  </si>
  <si>
    <t xml:space="preserve">Platformy zgód obsługują tylko marketing/cookies; zgody medyczne i udostępnienia muszą być w rekordzie.</t>
  </si>
  <si>
    <t xml:space="preserve">Wersje treści zgód, granularne wycofanie (A18.11), usunięcie z potwierdzeniem (A18.12)</t>
  </si>
  <si>
    <t xml:space="preserve">Marketing internetowy → platforma cookies</t>
  </si>
  <si>
    <t xml:space="preserve">Art. 7 i 9 RODO; brak zgód „wiązanych” z usługą</t>
  </si>
  <si>
    <t xml:space="preserve">Zaimplementowane: zgody wersjonowane, eksport danych, usunięcie konta</t>
  </si>
  <si>
    <t xml:space="preserve">W-07</t>
  </si>
  <si>
    <t xml:space="preserve">Rekord zdrowia — serwer FHIR R4</t>
  </si>
  <si>
    <t xml:space="preserve">Serwer rekordu zdrowia (standard FHIR)</t>
  </si>
  <si>
    <t xml:space="preserve">5, 36</t>
  </si>
  <si>
    <t xml:space="preserve">Medplum (Apache 2.0, TypeScript); HAPI FHIR 8.x (Apache 2.0, Java)</t>
  </si>
  <si>
    <t xml:space="preserve">Medplum hostowany — plan bezpłatny (rozwój); Aidbox — licencja deweloperska</t>
  </si>
  <si>
    <t xml:space="preserve">Aidbox (Health Samurai; licencja produkcyjna od ok. 600 USD)</t>
  </si>
  <si>
    <t xml:space="preserve">Medplum hostowany: Production 2 000 USD/mies., Premium 6 000 USD/mies.; Azure Health Data Services; Google Cloud Healthcare API; AWS HealthLake</t>
  </si>
  <si>
    <t xml:space="preserve">Lokalny magazyn FHIR aplikacji (gotowe) — 0 zł</t>
  </si>
  <si>
    <t xml:space="preserve">Medplum na własnej infrastrukturze w UE (adapter gotowy, ten sam język co aplikacja)</t>
  </si>
  <si>
    <t xml:space="preserve">Medplum w wysokiej dostępności (zarządzany PostgreSQL); opcjonalnie wsparcie Enterprise</t>
  </si>
  <si>
    <t xml:space="preserve">Medplum + eksport Bulk FHIR do magazynu analitycznego; zgodność z formatem EEHRxF (EHDS)</t>
  </si>
  <si>
    <t xml:space="preserve">Medplum (9)</t>
  </si>
  <si>
    <t xml:space="preserve">Medplum zgodnie z plikiem, ale na własnej infrastrukturze w UE: hostowany Medplum kosztuje od 2 000 USD/mies. i nie ma potwierdzonego regionu UE.</t>
  </si>
  <si>
    <t xml:space="preserve">Profile danych PL, walidacja, wersje i historia, mapowania LOINC/UCUM, eksport (A2.6), reguły dostępu</t>
  </si>
  <si>
    <t xml:space="preserve">&gt;1 mln zasobów lub wymagania EHDS → audyt wydajności i zgodności formatu</t>
  </si>
  <si>
    <t xml:space="preserve">EHDS stosuje się od 26.03.2027 (systemy EHR — wymogi interoperacyjności falami 2029/2031)</t>
  </si>
  <si>
    <t xml:space="preserve">Zaimplementowane: repozytorium FHIR z trzema zapleczami (lokalne, Medplum przez SDK, dowolny FHIR R4); rezerwacja z If-Match</t>
  </si>
  <si>
    <t xml:space="preserve">sprawdzone 04.10.2026 [Z02, Z44, Z45, Z66]</t>
  </si>
  <si>
    <t xml:space="preserve">W-08</t>
  </si>
  <si>
    <t xml:space="preserve">Chmura, baza i magazyn plików w UE</t>
  </si>
  <si>
    <t xml:space="preserve">Chmura i baza danych w UE</t>
  </si>
  <si>
    <t xml:space="preserve">5</t>
  </si>
  <si>
    <t xml:space="preserve">KUPUJEMY USŁUGĘ (przenośnie)</t>
  </si>
  <si>
    <t xml:space="preserve">Kubernetes/k3s, PostgreSQL, magazyn zgodny z S3 — uruchamialne u dowolnego dostawcy</t>
  </si>
  <si>
    <t xml:space="preserve">Kredyty startowe dostawców (warunki do sprawdzenia)</t>
  </si>
  <si>
    <t xml:space="preserve">OVHcloud (FR); Scaleway (FR); Hetzner (DE); STACKIT (DE)</t>
  </si>
  <si>
    <t xml:space="preserve">AWS (region UE; AWS European Sovereign Cloud w Brandenburgii od 15.01.2026); Microsoft Azure; Google Cloud</t>
  </si>
  <si>
    <t xml:space="preserve">Jeden serwer w UE — 50–200 zł/mies.</t>
  </si>
  <si>
    <t xml:space="preserve">AWS region UE (Frankfurt): zarządzany PostgreSQL, S3 z Object Lock, KMS — w jednym koncie z Bedrock; wszystko w kontenerach</t>
  </si>
  <si>
    <t xml:space="preserve">Jak MVP + kopia zapasowa u drugiego dostawcy z UE (OVHcloud)</t>
  </si>
  <si>
    <t xml:space="preserve">AWS European Sovereign Cloud albo OVHcloud dla klientów publicznych wymagających suwerenności</t>
  </si>
  <si>
    <t xml:space="preserve">AWS (region UE) (1)</t>
  </si>
  <si>
    <t xml:space="preserve">AWS zgodnie z plikiem (jeden dostawca dla bazy, plików, kluczy i modeli językowych), ale z zasadą przenośności: kontenery, PostgreSQL, interfejs S3 — przeniesienie do OVHcloud bez przepisywania.</t>
  </si>
  <si>
    <t xml:space="preserve">Infrastruktura jako kod (OpenTofu), szyfrowanie kluczami własnymi, kopie w drugim regionie/dostawcy</t>
  </si>
  <si>
    <t xml:space="preserve">Wymóg klienta publicznego (suwerenność) → Sovereign Cloud/OVHcloud; koszt &gt;30% przychodu → migracja</t>
  </si>
  <si>
    <t xml:space="preserve">Umowa powierzenia, region UE, ISO 27001; transfer do USA — ocena (CLOUD Act)</t>
  </si>
  <si>
    <t xml:space="preserve">Gotowe obrazy Docker i docker-compose (Caddy); niezależne od dostawcy</t>
  </si>
  <si>
    <t xml:space="preserve">sprawdzone 04.10.2026 [Z29]</t>
  </si>
  <si>
    <t xml:space="preserve">W-09</t>
  </si>
  <si>
    <t xml:space="preserve">Słowniki medyczne i terminologia</t>
  </si>
  <si>
    <t xml:space="preserve">Słowniki i standardy medyczne (nazwy badań, rozpoznań, leków, jednostek)</t>
  </si>
  <si>
    <t xml:space="preserve">4, 33</t>
  </si>
  <si>
    <t xml:space="preserve">DANE PUBLICZNE + nasza warstwa</t>
  </si>
  <si>
    <t xml:space="preserve">Snowstorm (serwer SNOMED, Apache 2.0); moduł terminologii Medplum/HAPI</t>
  </si>
  <si>
    <t xml:space="preserve">LOINC (po rejestracji), UCUM, ICD-10 (wersja polska), WHO ICD-11 API, NLM Clinical Tables</t>
  </si>
  <si>
    <t xml:space="preserve">Ontoserver (CSIRO); SNOMED CT — licencja zależna od członkostwa kraju</t>
  </si>
  <si>
    <t xml:space="preserve">Mapowanie 20–50 badań na LOINC</t>
  </si>
  <si>
    <t xml:space="preserve">Tabela mapowań 150–300 badań (LOINC + UCUM + ICD-10 PL) + wyszukiwanie NLM/WHO</t>
  </si>
  <si>
    <t xml:space="preserve">Serwer terminologii (moduł Medplum albo Snowstorm) + ICD-11</t>
  </si>
  <si>
    <t xml:space="preserve">+ SNOMED CT, jeśli Polska udostępni licencję krajową</t>
  </si>
  <si>
    <t xml:space="preserve">LOINC, UCUM, ICD-10 (2)</t>
  </si>
  <si>
    <t xml:space="preserve">Standardy bezpłatne; koszt to redakcja mapowań.</t>
  </si>
  <si>
    <t xml:space="preserve">Mapowania nazw z polskich laboratoriów na LOINC, konwersje jednostek (A11.4)</t>
  </si>
  <si>
    <t xml:space="preserve">Nowy kraj → słowniki krajowe</t>
  </si>
  <si>
    <t xml:space="preserve">Licencje LOINC/ICD — atrybucja</t>
  </si>
  <si>
    <t xml:space="preserve">Zaimplementowane: NLM Clinical Tables, WHO ICD-11, kody LOINC w pomiarach</t>
  </si>
  <si>
    <t xml:space="preserve">W-10</t>
  </si>
  <si>
    <t xml:space="preserve">Odczyt dokumentów i wyników (OCR + parser)</t>
  </si>
  <si>
    <t xml:space="preserve">Usługa odczytu dokumentów (tekst i tabele ze zdjęcia albo PDF); Gotowy interfejs „wynik laboratoryjny → dane”</t>
  </si>
  <si>
    <t xml:space="preserve">4, 25</t>
  </si>
  <si>
    <t xml:space="preserve">HYBRYDA: kupiony silnik + własny parser polski</t>
  </si>
  <si>
    <t xml:space="preserve">Docling (MIT; PDF z warstwą tekstową); PaddleOCR (Apache 2.0); docTR (Apache 2.0); Tesseract 5</t>
  </si>
  <si>
    <t xml:space="preserve">Skaner dokumentów systemu telefonu; odczyt warstwy tekstowej PDF (większość PDF z portali laboratoriów) — bez OCR</t>
  </si>
  <si>
    <t xml:space="preserve">Mistral OCR 4 (FR; 4 USD/1 000 stron, wsadowo 2 USD, z polami 5 USD; od 23.06.2026); Azure Document Intelligence (region UE)</t>
  </si>
  <si>
    <t xml:space="preserve">Google Document AI Enterprise OCR (1,5 USD/1 000 stron, region UE); AWS Textract</t>
  </si>
  <si>
    <t xml:space="preserve">Docling lokalnie (0 zł) + Mistral OCR na kilkudziesięciu dokumentach (kilka zł)</t>
  </si>
  <si>
    <t xml:space="preserve">Najpierw warstwa tekstowa PDF (0 zł), skany i zdjęcia → Mistral OCR 4; nasz parser 3–5 sieci laboratoriów; zatwierdzenie przez użytkownika</t>
  </si>
  <si>
    <t xml:space="preserve">Mistral OCR wsadowo + PaddleOCR/Docling u siebie dla prostych dokumentów</t>
  </si>
  <si>
    <t xml:space="preserve">Model otwarty na własnym GPU w UE, gdy wolumen przekroczy ok. 1 mln stron/mies.</t>
  </si>
  <si>
    <t xml:space="preserve">Google Document AI (4); nie bierzemy (1)</t>
  </si>
  <si>
    <t xml:space="preserve">Google tańszy (1,5 vs 4 USD/1 000 stron), ale Mistral to podmiot z UE (brak transferu do USA), zwraca strukturę tabel, bloki i pewność odczytu; na MVP różnica to kilkanaście zł/mies. Google zostaje zamiennikiem nr 1.</t>
  </si>
  <si>
    <t xml:space="preserve">Polski parser wyników, mapowanie na LOINC/UCUM, kontrola zakresów, ekran zatwierdzenia (A2.3), oryginał w rekordzie</t>
  </si>
  <si>
    <t xml:space="preserve">&gt;200 tys. stron/mies. → model u siebie; zmiana warunków przetwarzania → Google/Azure UE</t>
  </si>
  <si>
    <t xml:space="preserve">Dokumenty = dane o zdrowiu: umowa powierzenia, brak trenowania na danych, przetwarzanie w UE</t>
  </si>
  <si>
    <t xml:space="preserve">Częściowo: wgrywanie dokumentów; brak odczytu treści</t>
  </si>
  <si>
    <t xml:space="preserve">sprawdzone 04.10.2026 [Z03, Z16]</t>
  </si>
  <si>
    <t xml:space="preserve">W-11</t>
  </si>
  <si>
    <t xml:space="preserve">Modele językowe (brama modeli)</t>
  </si>
  <si>
    <t xml:space="preserve">Model językowy przez interfejs (silnik zdań, streszczeń i porządkowania tekstu); Rozpoznawanie posiłku ze zdjęcia</t>
  </si>
  <si>
    <t xml:space="preserve">4, 9, 10, 11, 13</t>
  </si>
  <si>
    <t xml:space="preserve">KUPUJEMY USŁUGĘ za własną bramą</t>
  </si>
  <si>
    <t xml:space="preserve">LiteLLM (MIT) — brama; modele otwarte: Bielik 11B v3 (Apache 2.0, polski), Mistral Small (Apache 2.0)</t>
  </si>
  <si>
    <t xml:space="preserve">Modele otwarte na własnym GPU (koszt sprzętu)</t>
  </si>
  <si>
    <t xml:space="preserve">Mistral (FR; Medium 3.5: 1,5 / 7,5 USD za 1 mln tokenów); Claude przez Amazon Bedrock z profilem eu.* (przetwarzanie tylko w UE)</t>
  </si>
  <si>
    <t xml:space="preserve">Claude API (Haiku 4.5: 1/5 USD; Sonnet 4.6: 3/15 USD za 1 mln tokenów); OpenAI (rezydencja UE +10%); Gemini (Vertex AI UE)</t>
  </si>
  <si>
    <t xml:space="preserve">Claude przez Bedrock (profil UE) — kilkadziesiąt zł</t>
  </si>
  <si>
    <t xml:space="preserve">Claude przez Amazon Bedrock (profil eu.*) za naszą bramą LiteLLM + Mistral jako drugi dostawca z UE (przełączanie)</t>
  </si>
  <si>
    <t xml:space="preserve">+ Bielik v3 na własnym GPU w UE do zadań prostych (porządkowanie pól, klasyfikacja)</t>
  </si>
  <si>
    <t xml:space="preserve">Routing wielu modeli według zadania i kosztu; modele otwarte dla danych najbardziej wrażliwych</t>
  </si>
  <si>
    <t xml:space="preserve">Claude (Anthropic) (5); model językowy z obrazem przez interfejs (płatne tokeny) (2)</t>
  </si>
  <si>
    <t xml:space="preserve">Claude przez Bedrock UE zgodnie z plikiem; brama i drugi dostawca usuwają zależność od jednego modelu i cennika.</t>
  </si>
  <si>
    <t xml:space="preserve">Brama: limity, maskowanie danych, logi zapytań, wersje poleceń, zbiory testowe PL, oznaczanie treści AI (A19.1), blokada interpretacji wyników</t>
  </si>
  <si>
    <t xml:space="preserve">Koszt tokenów &gt; koszt GPU; klient wymaga „bez podmiotów z USA” → Mistral/Bielik</t>
  </si>
  <si>
    <t xml:space="preserve">AI Act: przejrzystość (oznaczanie treści AI; dla systemów sprzed 2.08.2026 do 2.12.2026); granica MDR — model nie ocenia wyników</t>
  </si>
  <si>
    <t xml:space="preserve">Brak — świadomie (granica MDR w obecnej wersji)</t>
  </si>
  <si>
    <t xml:space="preserve">sprawdzone 04.10.2026 [Z05, Z31, Z64, Z65, Z09]</t>
  </si>
  <si>
    <t xml:space="preserve">W-12</t>
  </si>
  <si>
    <t xml:space="preserve">Objaśnianie i interpretacja wyników (wyrób medyczny partnera)</t>
  </si>
  <si>
    <t xml:space="preserve">Interpretacja wyników laboratoryjnych (moduł z certyfikatem wyrobu medycznego)</t>
  </si>
  <si>
    <t xml:space="preserve">6</t>
  </si>
  <si>
    <t xml:space="preserve">POŚREDNICTWO PARTNERA (CE) + własny słownik</t>
  </si>
  <si>
    <t xml:space="preserve">Słownik „co mierzy badanie” (redakcja własna, bez odniesienia do wyniku osoby)</t>
  </si>
  <si>
    <t xml:space="preserve">Labplus (PL, Wrocław; znak CE od 2023; 12 sieci laboratoriów, ok. 50% rynku badań w PL; API B2B)</t>
  </si>
  <si>
    <t xml:space="preserve">Objaśnienia 20 badań (bez oceny wyniku)</t>
  </si>
  <si>
    <t xml:space="preserve">Słownik 200–300 haseł + Labplus jako moduł partnera dla interpretacji wyniku konkretnej osoby</t>
  </si>
  <si>
    <t xml:space="preserve">Labplus (pakiet „Dodatek med”)</t>
  </si>
  <si>
    <t xml:space="preserve">Labplus albo własny wyrób dopiero przy skali uzasadniającej certyfikację</t>
  </si>
  <si>
    <t xml:space="preserve">Labplus (LabTest Checker) (2)</t>
  </si>
  <si>
    <t xml:space="preserve">Interpretacja wyniku konkretnej osoby jest funkcją wyrobu medycznego — tylko przez partnera z CE.</t>
  </si>
  <si>
    <t xml:space="preserve">Słownik, prezentacja wyniku partnera z oznaczeniem źródła, rozdzielenie od treści własnych</t>
  </si>
  <si>
    <t xml:space="preserve">Wolumen i przychód z pakietu → negocjacja albo własna certyfikacja</t>
  </si>
  <si>
    <t xml:space="preserve">MDR reguła 11; AI Act — wyroby z AI: obowiązki od 2.08.2028 (omnibus)</t>
  </si>
  <si>
    <t xml:space="preserve">Świadomie brak interpretacji (COMPLIANCE.md §1)</t>
  </si>
  <si>
    <t xml:space="preserve">sprawdzone 04.10.2026 [Z10, Z09]; klasa wyrobu Labplus do potwierdzenia u producenta</t>
  </si>
  <si>
    <t xml:space="preserve">W-13</t>
  </si>
  <si>
    <t xml:space="preserve">Asystent wiedzy z cytowaniami</t>
  </si>
  <si>
    <t xml:space="preserve">Gotowy asystent wiedzy klinicznej dla lekarzy (odpowiedzi z literatury z cytowaniami)</t>
  </si>
  <si>
    <t xml:space="preserve">10</t>
  </si>
  <si>
    <t xml:space="preserve">WŁASNE na modelach + licencja dla lekarza</t>
  </si>
  <si>
    <t xml:space="preserve">Własny RAG: pgvector (PostgreSQL), modele z W-11, treści z W-55</t>
  </si>
  <si>
    <t xml:space="preserve">Europe PMC REST API, PubMed E-utilities (bezpłatne)</t>
  </si>
  <si>
    <t xml:space="preserve">DR.INFO (Synduct, Monachium; wyrób klasy I MDR, hosting w UE, API „Evidence First Search”; Pro 9,92 EUR/mies. za lekarza); AMBOSS (DE); Tandem Health (SE)</t>
  </si>
  <si>
    <t xml:space="preserve">UpToDate Expert AI (Wolters Kluwer); OpenEvidence — wycofany z UE i UK 28.04.2026</t>
  </si>
  <si>
    <t xml:space="preserve">RAG na Europe PMC dla zespołu</t>
  </si>
  <si>
    <t xml:space="preserve">Pacjent: asystent wiedzy na naszych treściach redakcyjnych z cytowaniami, bez porad indywidualnych + ścieżka kryzysowa. Lekarz: DR.INFO (licencja/API)</t>
  </si>
  <si>
    <t xml:space="preserve">DR.INFO API w panelu lekarza; własny RAG z oceną jakości (W-38)</t>
  </si>
  <si>
    <t xml:space="preserve">Jak MLP; ocena kwalifikacji własnego asystenta (MDR) przy rozszerzaniu zakresu</t>
  </si>
  <si>
    <t xml:space="preserve">OpenEvidence (1)</t>
  </si>
  <si>
    <t xml:space="preserve">OpenEvidence wycofał się z UE i UK 28.04.2026 (niepewność regulacyjna, AI Act). DR.INFO to europejska alternatywa z CE i API.</t>
  </si>
  <si>
    <t xml:space="preserve">Kuratorowane źródła, cytowania (A6.2), filtry bezpieczeństwa, oznaczenie treści AI, logi</t>
  </si>
  <si>
    <t xml:space="preserve">Klient szpitalny → UpToDate/AMBOSS</t>
  </si>
  <si>
    <t xml:space="preserve">Kwalifikacja MDR (MDCG 2019-11): asystent dla pacjenta tylko edukacyjny; AI Act — przejrzystość</t>
  </si>
  <si>
    <t xml:space="preserve">Brak</t>
  </si>
  <si>
    <t xml:space="preserve">sprawdzone 04.10.2026 [Z06, Z07]</t>
  </si>
  <si>
    <t xml:space="preserve">W-14</t>
  </si>
  <si>
    <t xml:space="preserve">Dane zdrowotne z telefonu (Apple Zdrowie, Health Connect)</t>
  </si>
  <si>
    <t xml:space="preserve">Dane zdrowotne z telefonu (Apple Zdrowie i Health Connect)</t>
  </si>
  <si>
    <t xml:space="preserve">3, 12, 14, 16</t>
  </si>
  <si>
    <t xml:space="preserve">SYSTEM + biblioteki open source</t>
  </si>
  <si>
    <t xml:space="preserve">@kingstinct/react-native-healthkit (MIT); react-native-health-connect (MIT); SDK React Native Open Wearables (MIT)</t>
  </si>
  <si>
    <t xml:space="preserve">Apple HealthKit i Android Health Connect — funkcje systemu, bezpłatne; Samsung Health Data SDK</t>
  </si>
  <si>
    <t xml:space="preserve">SDK Thryve (w pakiecie agregatora)</t>
  </si>
  <si>
    <t xml:space="preserve">SDK Terra (w pakiecie)</t>
  </si>
  <si>
    <t xml:space="preserve">Import pliku eksportu Apple Zdrowie + wpis ręczny</t>
  </si>
  <si>
    <t xml:space="preserve">Aplikacja mobilna React Native/Expo z HealthKit i Health Connect (biblioteki MIT); synchronizacja w tle</t>
  </si>
  <si>
    <t xml:space="preserve">+ Samsung Health Data SDK</t>
  </si>
  <si>
    <t xml:space="preserve">Jak MLP</t>
  </si>
  <si>
    <t xml:space="preserve">Apple HealthKit (iOS) i Android Health Connect (10)</t>
  </si>
  <si>
    <t xml:space="preserve">Zgodne z plikiem; warunek — aplikacja natywna (PWA nie ma dostępu do HealthKit). Zegarki (Garmin, Oura, Polar) zapisują do systemu, więc to najtańsza droga do danych.</t>
  </si>
  <si>
    <t xml:space="preserve">Normalizacja do FHIR Observation (A1.5), deduplikacja źródeł (A1.7), zgody per typ danych</t>
  </si>
  <si>
    <t xml:space="preserve">Brak typu danych w systemie → agregator (W-15)</t>
  </si>
  <si>
    <t xml:space="preserve">Zasady App Store/Google Play dla danych zdrowotnych: brak reklam i sprzedaży danych (zgodne z zasadami stałymi)</t>
  </si>
  <si>
    <t xml:space="preserve">Brak — obecnie PWA; jest Web Bluetooth (Chrome/Edge) i Withings</t>
  </si>
  <si>
    <t xml:space="preserve">sprawdzone 04.10.2026 [Z55, Z56]</t>
  </si>
  <si>
    <t xml:space="preserve">W-15</t>
  </si>
  <si>
    <t xml:space="preserve">Agregator chmur producentów i platform sportowych</t>
  </si>
  <si>
    <t xml:space="preserve">Platformy sportowe i treningowe (dane o treningach)</t>
  </si>
  <si>
    <t xml:space="preserve">3, 14</t>
  </si>
  <si>
    <t xml:space="preserve">OPEN SOURCE u nas → usługa przy skali</t>
  </si>
  <si>
    <t xml:space="preserve">Open Wearables (Momentum; MIT; 200+ urządzeń; od 5.01.2026)</t>
  </si>
  <si>
    <t xml:space="preserve">Polar AccessLink (bezpłatne); Withings Public API (plan Standard)</t>
  </si>
  <si>
    <t xml:space="preserve">Thryve (DE; od 499 EUR/mies. do 500 użytkowników, 0,50 EUR każdy kolejny)</t>
  </si>
  <si>
    <t xml:space="preserve">Terra (100 tys. kredytów/mies. gratis ≈ 500 połączonych użytk.; dalej 0,005 USD/kredyt); ROOK; Spike</t>
  </si>
  <si>
    <t xml:space="preserve">Open Wearables na danych zespołu — 0 zł</t>
  </si>
  <si>
    <t xml:space="preserve">Telefon (W-14) jako główne źródło + Withings API + Open Wearables na naszym serwerze (Polar, Suunto, Oura). Strava — nie</t>
  </si>
  <si>
    <t xml:space="preserve">Thryve (UE), gdy potrzebny jeden kontrakt i SLA dla Garmin/Whoop; Open Wearables jako warstwa własna</t>
  </si>
  <si>
    <t xml:space="preserve">Thryve albo Open Wearables + bezpośrednie programy partnerskie (Garmin po wznowieniu naboru)</t>
  </si>
  <si>
    <t xml:space="preserve">Strava (3)</t>
  </si>
  <si>
    <t xml:space="preserve">Strava od 06.2026 wymaga subskrypcji dla nowych twórców, zakazuje użycia danych w AI (także jako kontekst/RAG), pokazuje dane tylko właścicielowi i nie wspiera pośredników. Garmin wstrzymał nabór do programu deweloperskiego (2026). Dane treningowe zbieramy przez system telefonu.</t>
  </si>
  <si>
    <t xml:space="preserve">Jednolity model pomiarów, zgody per źródło, rozstrzyganie konfliktów (F2.5), adaptery (F2.14)</t>
  </si>
  <si>
    <t xml:space="preserve">&gt;500 użytkowników z chmurami producentów lub wymóg SLA → Thryve</t>
  </si>
  <si>
    <t xml:space="preserve">Regulaminy API producentów (zakazy AI, wyświetlania innym); umowy powierzenia</t>
  </si>
  <si>
    <t xml:space="preserve">Zaimplementowane: Withings (OAuth) i odbiór pomiarów RPM</t>
  </si>
  <si>
    <t xml:space="preserve">sprawdzone 04.10.2026 [Z21, Z22, Z23, Z26, Z41, Z42]</t>
  </si>
  <si>
    <t xml:space="preserve">W-16</t>
  </si>
  <si>
    <t xml:space="preserve">Domowe urządzenia pomiarowe</t>
  </si>
  <si>
    <t xml:space="preserve">Domowe urządzenia pomiarowe z certyfikatem i łącznością (ciśnieniomierz, waga, pulsoksymetr, termometr, EKG); Domowe czujniki bez noszenia (łazienka, łóżko, materac)</t>
  </si>
  <si>
    <t xml:space="preserve">3, 44</t>
  </si>
  <si>
    <t xml:space="preserve">KUPUJEMY URZĄDZENIA + standard Bluetooth</t>
  </si>
  <si>
    <t xml:space="preserve">Standardowe profile Bluetooth GATT (ciśnienie, waga, termometr, pulsoksymetr, glukoza) — bez SDK producenta</t>
  </si>
  <si>
    <t xml:space="preserve">Withings Public API — plan Standard (5 000 aktywnych użytkowników, 120 zapytań/min)</t>
  </si>
  <si>
    <t xml:space="preserve">Withings Health Solutions (FR; urządzenia z łącznością komórkową, logistyka do pacjenta, plan Enterprise); Beurer (DE)</t>
  </si>
  <si>
    <t xml:space="preserve">Omron; iHealth; Masimo</t>
  </si>
  <si>
    <t xml:space="preserve">2–3 urządzenia Bluetooth na biurku + konto deweloperskie Withings</t>
  </si>
  <si>
    <t xml:space="preserve">Withings (plan Standard bezpłatnie) + dowolne urządzenia z profilem Bluetooth GATT + zdjęcie wyświetlacza</t>
  </si>
  <si>
    <t xml:space="preserve">Withings Health Solutions (zestawy komórkowe, wysyłka) dla RPM i Station; Enterprise powyżej 5 000 aktywnych</t>
  </si>
  <si>
    <t xml:space="preserve">+ drugi producent (Omron/iHealth) dla niezależności</t>
  </si>
  <si>
    <t xml:space="preserve">Withings (7); Withings (U-Scan, Sleep Analyzer) (1)</t>
  </si>
  <si>
    <t xml:space="preserve">Zgodne z plikiem. Uwaga: glukometrów Withings nie znaleziono w ofercie (ZAŁOŻENIE — potwierdzić) — glukoza przez glukometry Bluetooth (profil 0x1808) albo CGM (W-64).</t>
  </si>
  <si>
    <t xml:space="preserve">Parsery GATT, mapowanie na LOINC, kontrola jednostek, wpis ręczny</t>
  </si>
  <si>
    <t xml:space="preserve">&gt;5 000 aktywnych z Withings → Enterprise</t>
  </si>
  <si>
    <t xml:space="preserve">Urządzenia z CE (wyroby medyczne producenta); aplikacja tylko przesyła i pokazuje</t>
  </si>
  <si>
    <t xml:space="preserve">Zaimplementowane: Web Bluetooth (5 profili), Withings OAuth, wpis ręczny</t>
  </si>
  <si>
    <t xml:space="preserve">sprawdzone 04.10.2026 [Z25]</t>
  </si>
  <si>
    <t xml:space="preserve">W-17</t>
  </si>
  <si>
    <t xml:space="preserve">Platforma zdalnego monitoringu (RPM)</t>
  </si>
  <si>
    <t xml:space="preserve">Platforma zdalnego monitoringu z urządzeniami medycznymi (zestaw, bramka, panel personelu, alarmy)</t>
  </si>
  <si>
    <t xml:space="preserve">24</t>
  </si>
  <si>
    <t xml:space="preserve">POŚREDNICTWO PARTNERA + nasz punkt odbioru</t>
  </si>
  <si>
    <t xml:space="preserve">Nasz punkt odbioru pomiarów (FHIR + podpis HMAC)</t>
  </si>
  <si>
    <t xml:space="preserve">Vitalera (ES; platforma RPM z API integracyjnym; umowa partnerska); Withings Health Solutions (FR); Comarch e-Care (PL)</t>
  </si>
  <si>
    <t xml:space="preserve">Huma (UK)</t>
  </si>
  <si>
    <t xml:space="preserve">Webhook + Withings</t>
  </si>
  <si>
    <t xml:space="preserve">Nasz punkt odbioru (gotowy) + Vitalera tam, gdzie placówka prowadzi program RPM</t>
  </si>
  <si>
    <t xml:space="preserve">Vitalera / Withings Health Solutions jako dostawcy zestawów; progi ustawia lekarz (moduł z CE)</t>
  </si>
  <si>
    <t xml:space="preserve">Kilku dostawców RPM przez ten sam punkt odbioru</t>
  </si>
  <si>
    <t xml:space="preserve">Vitalera (1)</t>
  </si>
  <si>
    <t xml:space="preserve">Vitalera zgodnie z plikiem, ale przez nasz ustandaryzowany punkt odbioru — każda platforma RPM podłącza się tak samo. Vitalera nie publikuje otwartego API; format do potwierdzenia w umowie.</t>
  </si>
  <si>
    <t xml:space="preserve">Odbiór, deduplikacja, mapowanie, widok lekarza; bez własnych alarmów (MDR)</t>
  </si>
  <si>
    <t xml:space="preserve">Pierwszy płatnik programu RPM</t>
  </si>
  <si>
    <t xml:space="preserve">Alarmy progowe = funkcja wyrobu — tylko w module z CE</t>
  </si>
  <si>
    <t xml:space="preserve">Zaimplementowane: odbiór pomiarów z podpisem HMAC, deduplikacja, mapowanie LOINC</t>
  </si>
  <si>
    <t xml:space="preserve">sprawdzone 04.10.2026; API Vitalera — brak publicznej dokumentacji</t>
  </si>
  <si>
    <t xml:space="preserve">W-18</t>
  </si>
  <si>
    <t xml:space="preserve">Wskaźniki z danych urządzeń (sen, gotowość, „wiek”)</t>
  </si>
  <si>
    <t xml:space="preserve">Gotowe wskaźniki i wnioski z danych z urządzeń (analityka zdrowia jako usługa)</t>
  </si>
  <si>
    <t xml:space="preserve">12, 16, 17</t>
  </si>
  <si>
    <t xml:space="preserve">WŁASNE jawne wskaźniki → usługa po teście</t>
  </si>
  <si>
    <t xml:space="preserve">Własne wskaźniki opisowe (średnie, trendy, regularność snu) — wzory jawne</t>
  </si>
  <si>
    <t xml:space="preserve">Wskaźniki producentów (Apple, Garmin, Oura) przez HealthKit/Health Connect</t>
  </si>
  <si>
    <t xml:space="preserve">Thryve (DE) — moduły analityczne do potwierdzenia</t>
  </si>
  <si>
    <t xml:space="preserve">Sahha (NZ/AU; plan bezpłatny + 299 USD/mies. za 1 000 użytkowników wg porównania dostawcy); ROOK</t>
  </si>
  <si>
    <t xml:space="preserve">Wskaźniki producenta — 0 zł</t>
  </si>
  <si>
    <t xml:space="preserve">Wskaźniki producenta + nasze jawne wskaźniki opisowe (bez oceny zdrowia)</t>
  </si>
  <si>
    <t xml:space="preserve">Sahha tylko po potwierdzeniu przetwarzania w UE i umowie powierzenia; inaczej własne</t>
  </si>
  <si>
    <t xml:space="preserve">Własne wskaźniki, walidowane</t>
  </si>
  <si>
    <t xml:space="preserve">Sahha (5)</t>
  </si>
  <si>
    <t xml:space="preserve">Rezydencja danych Sahha w UE niepotwierdzona; wskaźniki typu „wiek biologiczny” grożą kwalifikacją jako wyrób medyczny i zarzutem wprowadzania w błąd.</t>
  </si>
  <si>
    <t xml:space="preserve">Jawne wzory, opis ograniczeń, brak obietnic zdrowotnych</t>
  </si>
  <si>
    <t xml:space="preserve">Test porównawczy własne vs Sahha na danych zgodnych z RODO</t>
  </si>
  <si>
    <t xml:space="preserve">MDR (ocena ryzyka), dyrektywa o nieuczciwych praktykach rynkowych</t>
  </si>
  <si>
    <t xml:space="preserve">sprawdzone 04.10.2026 [Z24]</t>
  </si>
  <si>
    <t xml:space="preserve">W-19</t>
  </si>
  <si>
    <t xml:space="preserve">Powiadomienia i przypomnienia</t>
  </si>
  <si>
    <t xml:space="preserve">Silnik powiadomień (push, e-mail, SMS, kolejność kanałów)</t>
  </si>
  <si>
    <t xml:space="preserve">8, 23</t>
  </si>
  <si>
    <t xml:space="preserve">WŁASNA KOLEJKA na bezpłatnych kanałach</t>
  </si>
  <si>
    <t xml:space="preserve">Novu (MIT; self-hosted bezpłatnie); własna kolejka (outbox) w PostgreSQL</t>
  </si>
  <si>
    <t xml:space="preserve">APNs, FCM, Web Push (VAPID); Novu Cloud — 10 tys. przebiegów/mies.</t>
  </si>
  <si>
    <t xml:space="preserve">Brevo (FR; e-mail transakcyjny, dane w UE); OVHcloud SMS</t>
  </si>
  <si>
    <t xml:space="preserve">Amazon SES (0,10 USD/1 000 e-maili w modelu a la carte; od 21.07.2026 także plany); Knock; OneSignal</t>
  </si>
  <si>
    <t xml:space="preserve">Web Push + SMTP (gotowe)</t>
  </si>
  <si>
    <t xml:space="preserve">Nasza kolejka (gotowa) + APNs/FCM/Web Push + Amazon SES (region UE) + SMSAPI</t>
  </si>
  <si>
    <t xml:space="preserve">Novu na naszym serwerze, gdy rośnie liczba kanałów, szablonów i preferencji</t>
  </si>
  <si>
    <t xml:space="preserve">Novu + dostawcy per kraj</t>
  </si>
  <si>
    <t xml:space="preserve">własna kolejka na bezpłatnych usługach systemowych Apple (APNs) i Google (FCM) + e-mail przez Amazon SES + bramka SMS (4)</t>
  </si>
  <si>
    <t xml:space="preserve">Zgodne z plikiem; kanały push bezpłatne; SES najtańszy dla e-maili.</t>
  </si>
  <si>
    <t xml:space="preserve">Szablony bez danych o zdrowiu, preferencje kanałów, eskalacja (A14.1), ciche godziny</t>
  </si>
  <si>
    <t xml:space="preserve">&gt;5 kanałów lub wiele produktów → Novu</t>
  </si>
  <si>
    <t xml:space="preserve">Treść poza aplikacją bez informacji o zdrowiu</t>
  </si>
  <si>
    <t xml:space="preserve">Zaimplementowane: kolejka, Web Push, SMTP, SMS, preferencje, przypomnienia o wizytach</t>
  </si>
  <si>
    <t xml:space="preserve">sprawdzone 04.10.2026 [Z30, Z53, Z54]</t>
  </si>
  <si>
    <t xml:space="preserve">W-20</t>
  </si>
  <si>
    <t xml:space="preserve">Raporty i dokumenty PDF</t>
  </si>
  <si>
    <t xml:space="preserve">Generator raportów i dokumentów PDF</t>
  </si>
  <si>
    <t xml:space="preserve">9</t>
  </si>
  <si>
    <t xml:space="preserve">OPEN SOURCE u nas</t>
  </si>
  <si>
    <t xml:space="preserve">Gotenberg (MIT; usługa HTML→PDF); Playwright/Chromium (Apache 2.0); WeasyPrint (BSD); Typst (Apache 2.0)</t>
  </si>
  <si>
    <t xml:space="preserve">Jak open source</t>
  </si>
  <si>
    <t xml:space="preserve">DocRaptor</t>
  </si>
  <si>
    <t xml:space="preserve">PDF z listą wyników</t>
  </si>
  <si>
    <t xml:space="preserve">Szablony wersjonowane + Gotenberg na naszym serwerze; PDF dostępny (PDF/UA)</t>
  </si>
  <si>
    <t xml:space="preserve">Jak MVP</t>
  </si>
  <si>
    <t xml:space="preserve">Jak MVP + podpis kwalifikowany partnera, gdy wymagany</t>
  </si>
  <si>
    <t xml:space="preserve">szablony wersjonowane + generator na serwerze (Playwright z Chromium) (2)</t>
  </si>
  <si>
    <t xml:space="preserve">Zgodne z plikiem; bez kosztów licencji.</t>
  </si>
  <si>
    <t xml:space="preserve">Szablony SBAR/raportów, wersje, podpis treści skrótem</t>
  </si>
  <si>
    <t xml:space="preserve">Europejski akt o dostępności — dokumenty dostępne</t>
  </si>
  <si>
    <t xml:space="preserve">Częściowo: generator PDF w danych demonstracyjnych</t>
  </si>
  <si>
    <t xml:space="preserve">W-21</t>
  </si>
  <si>
    <t xml:space="preserve">Pulpit i wykresy</t>
  </si>
  <si>
    <t xml:space="preserve">Biblioteki wykresów i panele analityczne</t>
  </si>
  <si>
    <t xml:space="preserve">7</t>
  </si>
  <si>
    <t xml:space="preserve">OPEN SOURCE w aplikacji</t>
  </si>
  <si>
    <t xml:space="preserve">Apache ECharts (web, Apache 2.0); Victory Native XL (mobile, MIT); Recharts (MIT); Apache Superset (panele wewnętrzne)</t>
  </si>
  <si>
    <t xml:space="preserve">Metabase (wersja płatna)</t>
  </si>
  <si>
    <t xml:space="preserve">Wykres trendu (gotowy)</t>
  </si>
  <si>
    <t xml:space="preserve">ECharts (web) + Victory Native (mobile); proste trendy na własnym SVG</t>
  </si>
  <si>
    <t xml:space="preserve">Jak MVP; Superset dla zespołu</t>
  </si>
  <si>
    <t xml:space="preserve">ECharts i Victory Native (2)</t>
  </si>
  <si>
    <t xml:space="preserve">Zgodne z plikiem.</t>
  </si>
  <si>
    <t xml:space="preserve">Dostępne wykresy (opis tekstowy), oś czasu (D4.7)</t>
  </si>
  <si>
    <t xml:space="preserve">WCAG 2.2 — alternatywy tekstowe</t>
  </si>
  <si>
    <t xml:space="preserve">Zaimplementowane: wykres trendu SVG (responsywny, dostępny)</t>
  </si>
  <si>
    <t xml:space="preserve">W-22</t>
  </si>
  <si>
    <t xml:space="preserve">Wideo (konsultacje, wydarzenia)</t>
  </si>
  <si>
    <t xml:space="preserve">Serwer albo usługa rozmów wideo</t>
  </si>
  <si>
    <t xml:space="preserve">22</t>
  </si>
  <si>
    <t xml:space="preserve">Jitsi Meet (Apache 2.0); LiveKit (Apache 2.0); mediasoup; Janus</t>
  </si>
  <si>
    <t xml:space="preserve">LiveKit Cloud Build (5 000 min/mies.); meet.jit.si — tylko testy</t>
  </si>
  <si>
    <t xml:space="preserve">LiveKit Cloud Ship 50 USD / Scale 500 USD/mies.; Daily</t>
  </si>
  <si>
    <t xml:space="preserve">Jitsi (gotowe) — testy</t>
  </si>
  <si>
    <t xml:space="preserve">Jitsi na własnym serwerze w UE z tokenami JWT (gotowe w aplikacji)</t>
  </si>
  <si>
    <t xml:space="preserve">LiveKit na własnym serwerze (SDK mobilne, nagrywanie audio do Scribe, wydarzenia)</t>
  </si>
  <si>
    <t xml:space="preserve">LiveKit w wysokiej dostępności, kilka regionów UE</t>
  </si>
  <si>
    <t xml:space="preserve">Jitsi albo LiveKit (3)</t>
  </si>
  <si>
    <t xml:space="preserve">Plik wskazuje „Jitsi albo LiveKit”: Jitsi już działa (MVP), LiveKit lepszy do SDK mobilnych i nagrań do Scribe (MLP).</t>
  </si>
  <si>
    <t xml:space="preserve">Pokoje powiązane z wizytą, tokeny, okno czasowe, zgoda na nagranie</t>
  </si>
  <si>
    <t xml:space="preserve">Aplikacja mobilna + Scribe → LiveKit</t>
  </si>
  <si>
    <t xml:space="preserve">Szyfrowanie transmisji; nagranie tylko za zgodą (F6.10)</t>
  </si>
  <si>
    <t xml:space="preserve">Zaimplementowane: Jitsi z tokenami JWT i oknem czasowym wizyty</t>
  </si>
  <si>
    <t xml:space="preserve">sprawdzone 04.10.2026 [Z20]</t>
  </si>
  <si>
    <t xml:space="preserve">W-23</t>
  </si>
  <si>
    <t xml:space="preserve">Mowa na tekst (transkrypcja)</t>
  </si>
  <si>
    <t xml:space="preserve">Usługa mowy na tekst (transkrypcja) i syntezy głosu</t>
  </si>
  <si>
    <t xml:space="preserve">19</t>
  </si>
  <si>
    <t xml:space="preserve">KUPUJEMY USŁUGĘ → model otwarty przy skali</t>
  </si>
  <si>
    <t xml:space="preserve">Whisper large-v3 / faster-whisper (MIT) na GPU w UE; Voxtral (Apache 2.0 — bez języka polskiego)</t>
  </si>
  <si>
    <t xml:space="preserve">Dyktowanie w systemie telefonu (na urządzeniu)</t>
  </si>
  <si>
    <t xml:space="preserve">ElevenLabs Scribe v2 (rezydencja w UE, tryb bez przechowywania; najlepszy wynik dla polskiego, także na danych medycznych); Speechmatics (UK); Soniox</t>
  </si>
  <si>
    <t xml:space="preserve">OpenAI gpt-4o-transcribe (ok. 0,006 USD/min; rezydencja UE dla transkrypcji niepotwierdzona); Deepgram; Corti (0,0065 USD/min — bez polskiego)</t>
  </si>
  <si>
    <t xml:space="preserve">Whisper lokalnie na nagraniach testowych (za zgodą)</t>
  </si>
  <si>
    <t xml:space="preserve">ElevenLabs Scribe v2 w rezydencji UE, bez przechowywania (umowa enterprise + powierzenie); zapas: Whisper large-v3 na GPU w UE</t>
  </si>
  <si>
    <t xml:space="preserve">Test porównawczy na naszym zbiorze (ElevenLabs, Soniox, Speechmatics, Whisper) i wybór per koszt</t>
  </si>
  <si>
    <t xml:space="preserve">Model otwarty dostrojony do polskiej mowy medycznej na GPU w UE</t>
  </si>
  <si>
    <t xml:space="preserve">OpenAI (gpt-4o-mini-transcribe 0,003 USD/min albo gpt-4o-transcribe 0,006 USD/min) (1)</t>
  </si>
  <si>
    <t xml:space="preserve">Badanie 2026 (arXiv 2603.02246): ElevenLabs Scribe najlepszy dla polskiego, także na danych medycznych. OpenAI — brak potwierdzonej rezydencji UE dla modeli transkrypcji. Cena ElevenLabs do potwierdzenia.</t>
  </si>
  <si>
    <t xml:space="preserve">Zgoda na nagranie, usuwanie audio po transkrypcji, słownik terminów medycznych PL</t>
  </si>
  <si>
    <t xml:space="preserve">&gt;20 tys. min/mies. → model własny</t>
  </si>
  <si>
    <t xml:space="preserve">Nagranie wizyty = dane o zdrowiu; brak przechowywania u dostawcy</t>
  </si>
  <si>
    <t xml:space="preserve">sprawdzone 04.10.2026 [Z13, Z14, Z15, Z04, Z08, Z68]</t>
  </si>
  <si>
    <t xml:space="preserve">W-24</t>
  </si>
  <si>
    <t xml:space="preserve">Scribe — notatka z wizyty</t>
  </si>
  <si>
    <t xml:space="preserve">Gotowy produkt albo interfejs Scribe (nagranie wizyty → uporządkowana notatka)</t>
  </si>
  <si>
    <t xml:space="preserve">WŁASNY PRZEBIEG na kupionych silnikach</t>
  </si>
  <si>
    <t xml:space="preserve">Przebieg własny: nagranie (W-22/telefon) → STT (W-23) → model (W-11) → szablon SOAP/SBAR → zatwierdzenie lekarza</t>
  </si>
  <si>
    <t xml:space="preserve">Corti (DK; API mowy i dokumentów — polski nie jest na liście języków); Tandem Health (SE); Nabla (FR)</t>
  </si>
  <si>
    <t xml:space="preserve">Strona: nagraj → transkrypt → szkic notatki</t>
  </si>
  <si>
    <t xml:space="preserve">Przebieg własny: ElevenLabs Scribe (UE) + Claude (Bedrock UE) + polskie szablony; obowiązkowe zatwierdzenie lekarza</t>
  </si>
  <si>
    <t xml:space="preserve">Ponowny przegląd gotowych scribe — wybór, jeśli dodadzą polski z dokumentacją zgodności</t>
  </si>
  <si>
    <t xml:space="preserve">Własny albo partner — decyzja kosztowa</t>
  </si>
  <si>
    <t xml:space="preserve">Corti (2)</t>
  </si>
  <si>
    <t xml:space="preserve">Gotowe scribe z UE nie obsługują polskiego (Corti — brak PL na liście). Przebieg własny na sprawdzonych silnikach daje kontrolę nad szablonami i danymi.</t>
  </si>
  <si>
    <t xml:space="preserve">Szablony specjalności, rozdzielenie faktów od wniosków, zatwierdzenie i podpis lekarza, eksport do systemu gabinetowego (A12.7)</t>
  </si>
  <si>
    <t xml:space="preserve">Gotowy scribe z polskim i CE → porównanie kosztu</t>
  </si>
  <si>
    <t xml:space="preserve">Kwalifikacja MDR (notatka bez sugestii diagnozy = zwykle nie wyrób); AI Act — przejrzystość</t>
  </si>
  <si>
    <t xml:space="preserve">sprawdzone 04.10.2026 [Z08]</t>
  </si>
  <si>
    <t xml:space="preserve">W-25</t>
  </si>
  <si>
    <t xml:space="preserve">Ankiety i formularze (FHIR Questionnaire)</t>
  </si>
  <si>
    <t xml:space="preserve">Silnik ankiet i formularzy</t>
  </si>
  <si>
    <t xml:space="preserve">20</t>
  </si>
  <si>
    <t xml:space="preserve">FHIR Questionnaire + LHC-Forms (NLM) lub Smart Forms (CSIRO, Apache 2.0); SurveyJS Form Library (MIT); Formbricks (AGPL)</t>
  </si>
  <si>
    <t xml:space="preserve">SurveyJS Creator (licencja komercyjna)</t>
  </si>
  <si>
    <t xml:space="preserve">Jedna ankieta (gotowe)</t>
  </si>
  <si>
    <t xml:space="preserve">FHIR Questionnaire + nasz renderer (gotowy); LHC-Forms/Smart Forms dla formularzy złożonych</t>
  </si>
  <si>
    <t xml:space="preserve">ankiety w standardzie FHIR (Questionnaire) z otwartym narzędziem do wyświetlania (LHC-Forms) (1)</t>
  </si>
  <si>
    <t xml:space="preserve">Zgodne z plikiem; gotowe w aplikacji.</t>
  </si>
  <si>
    <t xml:space="preserve">Biblioteka ankiet placówek, wersje, poprawki odpowiedzi</t>
  </si>
  <si>
    <t xml:space="preserve">Ankieta bez oceny = nie wyrób</t>
  </si>
  <si>
    <t xml:space="preserve">Zaimplementowane: ankiety przed wizytą (Questionnaire/QuestionnaireResponse), poprawki</t>
  </si>
  <si>
    <t xml:space="preserve">W-26</t>
  </si>
  <si>
    <t xml:space="preserve">Wywiad objawowy i triaż (wyrób medyczny partnera)</t>
  </si>
  <si>
    <t xml:space="preserve">Wywiad objawowy i triaż z certyfikatem wyrobu medycznego</t>
  </si>
  <si>
    <t xml:space="preserve">20, 21</t>
  </si>
  <si>
    <t xml:space="preserve">POŚREDNICTWO PARTNERA (CE)</t>
  </si>
  <si>
    <t xml:space="preserve">Ankieta strukturalna bez oceny (W-25)</t>
  </si>
  <si>
    <t xml:space="preserve">Infermedica (PL, Wrocław; wyrób klasy IIb MDR od 2025; licencja wg obserwatorów rynku od kilkudziesięciu tys. EUR/rok); Ada Health (DE)</t>
  </si>
  <si>
    <t xml:space="preserve">Ankieta 5 pytań</t>
  </si>
  <si>
    <t xml:space="preserve">Ankieta przed wizytą bez oceny; Infermedica tylko dla placówek, które kupią moduł</t>
  </si>
  <si>
    <t xml:space="preserve">Infermedica w pakiecie „Dodatek med” / Klinika</t>
  </si>
  <si>
    <t xml:space="preserve">Infermedica (2)</t>
  </si>
  <si>
    <t xml:space="preserve">Infermedica zgodnie z plikiem, ale licencja nieproporcjonalna do MVP — najpierw ankieta bez oceny (0 zł).</t>
  </si>
  <si>
    <t xml:space="preserve">Przekazanie wyniku partnera do wizyty, oznaczenie źródła</t>
  </si>
  <si>
    <t xml:space="preserve">Pierwsza placówka płacąca za triaż</t>
  </si>
  <si>
    <t xml:space="preserve">Triaż = wyrób (MDR IIb); AI w wyrobach — AI Act od 2.08.2028</t>
  </si>
  <si>
    <t xml:space="preserve">Zaimplementowane: ankieta przed wizytą bez oceny</t>
  </si>
  <si>
    <t xml:space="preserve">sprawdzone 04.10.2026 [Z11]</t>
  </si>
  <si>
    <t xml:space="preserve">W-27</t>
  </si>
  <si>
    <t xml:space="preserve">Rezerwacje i kalendarze</t>
  </si>
  <si>
    <t xml:space="preserve">Serwisy rezerwacji wizyt</t>
  </si>
  <si>
    <t xml:space="preserve">23</t>
  </si>
  <si>
    <t xml:space="preserve">WŁASNY RDZEŃ + kanały zewnętrzne</t>
  </si>
  <si>
    <t xml:space="preserve">Nasz silnik terminów (FHIR Schedule/Slot, blokada optymistyczna); Cal.diy (MIT od 15.04.2026 — Cal.com zamknął kod produkcyjny)</t>
  </si>
  <si>
    <t xml:space="preserve">NFZ Terminy Leczenia (informacja o kolejkach)</t>
  </si>
  <si>
    <t xml:space="preserve">ZnanyLekarz / Docplanner Integrations API (OAuth2; synchronizacja kalendarzy, slotów, rezerwacji); Medfile (zintegrowany ze ZnanyLekarz)</t>
  </si>
  <si>
    <t xml:space="preserve">Cronofy (od 15 USD za stanowisko; Business 799 USD/mies.); Cal.com (komercyjny)</t>
  </si>
  <si>
    <t xml:space="preserve">Nasz silnik (gotowy)</t>
  </si>
  <si>
    <t xml:space="preserve">Nasz silnik terminów (rdzeń) + kanał ZnanyLekarz przez Docplanner Integrations API dla placówek z profilem premium</t>
  </si>
  <si>
    <t xml:space="preserve">+ synchronizacja z systemami gabinetowymi (W-28)</t>
  </si>
  <si>
    <t xml:space="preserve">Jak MLP + kanały per kraj</t>
  </si>
  <si>
    <t xml:space="preserve">ZnanyLekarz (Docplanner) (2)</t>
  </si>
  <si>
    <t xml:space="preserve">ZnanyLekarz to kanał dystrybucji, nie silnik: dane, reguły, przypomnienia i panel muszą być nasze. Cal.com przestał być otwartym produktem (04.2026).</t>
  </si>
  <si>
    <t xml:space="preserve">Reguły dostępności, lista oczekujących, przypomnienia, odwołania, synchronizacja dwukierunkowa</t>
  </si>
  <si>
    <t xml:space="preserve">Placówka z innym systemem → adapter</t>
  </si>
  <si>
    <t xml:space="preserve">Dane wizyty = dane o zdrowiu (specjalność)</t>
  </si>
  <si>
    <t xml:space="preserve">Zaimplementowane: terminy, rezerwacja bez podwójnych zapisów, odwołania, lista oczekujących, przypomnienia, NFZ</t>
  </si>
  <si>
    <t xml:space="preserve">sprawdzone 04.10.2026 [Z19, Z46, Z47]</t>
  </si>
  <si>
    <t xml:space="preserve">W-28</t>
  </si>
  <si>
    <t xml:space="preserve">Brama e-zdrowia (P1: e-recepta, e-skierowanie)</t>
  </si>
  <si>
    <t xml:space="preserve">Systemy gabinetowe z gotową integracją z krajową platformą e-zdrowia (e-recepta, e-skierowanie)</t>
  </si>
  <si>
    <t xml:space="preserve">18</t>
  </si>
  <si>
    <t xml:space="preserve">POŚREDNICTWO przez system gabinetowy placówki</t>
  </si>
  <si>
    <t xml:space="preserve">— (dokumentacja integracyjna CeZ: WSDL/XDS — bezpłatna, wymaga statusu usługodawcy)</t>
  </si>
  <si>
    <t xml:space="preserve">gabinet.gov.pl — bezpłatna aplikacja państwowa dla lekarzy (e-recepta, e-skierowanie); brak API dla aplikacji zewnętrznych (ZAŁOŻENIE)</t>
  </si>
  <si>
    <t xml:space="preserve">MyDr (system gabinetowy z aplikacją EDM; publiczne API niepotwierdzone); Medfile; KS-SOMED (Kamsoft); mMedica (Asseco); Pentacomp (konektory P1 z REST API)</t>
  </si>
  <si>
    <t xml:space="preserve">Pacjent wgrywa dokumenty z IKP; kod recepty wpisany ręcznie</t>
  </si>
  <si>
    <t xml:space="preserve">E-recepty i e-skierowania wystawia lekarz w systemie gabinetowym placówki; Eternal pokazuje status i dokumenty; adaptery do API systemów, które je mają</t>
  </si>
  <si>
    <t xml:space="preserve">Konektor P1 (np. Pentacomp) dla placówek, gdy Eternal Doctor staje się systemem placówki</t>
  </si>
  <si>
    <t xml:space="preserve">Własna integracja P1 + EHDS (e-recepta transgraniczna od 26.03.2029)</t>
  </si>
  <si>
    <t xml:space="preserve">MyDr (7)</t>
  </si>
  <si>
    <t xml:space="preserve">Jeden dostawca (MyDr) nie pokrywa rynku i nie ma potwierdzonego API; adapter do kilku systemów gabinetowych. Recepty może wystawiać tylko podmiot leczniczy.</t>
  </si>
  <si>
    <t xml:space="preserve">Adaptery systemów gabinetowych, status dokumentów, eksport notatki (A12.7)</t>
  </si>
  <si>
    <t xml:space="preserve">Eternal Doctor jako system placówki → konektor P1 i testy CeZ</t>
  </si>
  <si>
    <t xml:space="preserve">P1 wymaga podmiotu leczniczego i certyfikatów; Eternal B2C nie wystawia recept</t>
  </si>
  <si>
    <t xml:space="preserve">Brak (świadomie — opisane w INTEGRATIONS.md)</t>
  </si>
  <si>
    <t xml:space="preserve">sprawdzone 04.10.2026 [Z33, Z69, Z70, Z66]</t>
  </si>
  <si>
    <t xml:space="preserve">W-29</t>
  </si>
  <si>
    <t xml:space="preserve">Operator telemedyczny (lekarze partnera)</t>
  </si>
  <si>
    <t xml:space="preserve">Operator telemedyczny z siecią lekarzy (także pod marką klienta)</t>
  </si>
  <si>
    <t xml:space="preserve">22, 27</t>
  </si>
  <si>
    <t xml:space="preserve">POŚREDNICTWO PARTNERA</t>
  </si>
  <si>
    <t xml:space="preserve">Telemedi (PL; white-label B2B; klienci: AXA, Allianz, Generali, PZU); Telemedico (PL)</t>
  </si>
  <si>
    <t xml:space="preserve">Telemedi pod naszą marką (MLP/Forge 2028); recepta wyłącznie po konsultacji lekarza</t>
  </si>
  <si>
    <t xml:space="preserve">Telemedi</t>
  </si>
  <si>
    <t xml:space="preserve">Telemedi + operator per kraj</t>
  </si>
  <si>
    <t xml:space="preserve">Telemedi (1)</t>
  </si>
  <si>
    <t xml:space="preserve">Zgodne z plikiem. Warunek zasad stałych: brak korzyści za zakup leków i brak kierowania do aptek.</t>
  </si>
  <si>
    <t xml:space="preserve">Przekazanie danych za zgodą, raport do konsultacji, ocena jakości</t>
  </si>
  <si>
    <t xml:space="preserve">Telemedycyna — standardy NFZ/MZ; zasady stałe Eternal</t>
  </si>
  <si>
    <t xml:space="preserve">sprawdzone 04.10.2026 [Z49]</t>
  </si>
  <si>
    <t xml:space="preserve">W-30</t>
  </si>
  <si>
    <t xml:space="preserve">Sieci laboratoriów (zamawianie, wyniki)</t>
  </si>
  <si>
    <t xml:space="preserve">Sieci laboratoriów i pobrania (badania z krwi i inne)</t>
  </si>
  <si>
    <t xml:space="preserve">17, 25</t>
  </si>
  <si>
    <t xml:space="preserve">Wyniki z IKP — pacjent pobiera PDF i wgrywa (W-10)</t>
  </si>
  <si>
    <t xml:space="preserve">Diagnostyka (PL; Diagnostyka+, przekazywanie wyników platformom partnerów — np. MedApp); ALAB; Synevo</t>
  </si>
  <si>
    <t xml:space="preserve">Wgranie PDF</t>
  </si>
  <si>
    <t xml:space="preserve">Wgrywanie PDF + umowa z Diagnostyką na przekazywanie wyników za zgodą pacjenta</t>
  </si>
  <si>
    <t xml:space="preserve">+ ALAB/Synevo; zamawianie pakietów badań (odnośnik bez marży od leków)</t>
  </si>
  <si>
    <t xml:space="preserve">Diagnostyka (2)</t>
  </si>
  <si>
    <t xml:space="preserve">Zgodne z plikiem; Diagnostyka ma już model przekazywania wyników platformom partnerów.</t>
  </si>
  <si>
    <t xml:space="preserve">Zgoda na pobieranie wyników, mapowanie na LOINC</t>
  </si>
  <si>
    <t xml:space="preserve">Umowa powierzenia lub współadministrowania</t>
  </si>
  <si>
    <t xml:space="preserve">Zaimplementowane: wyniki udostępniane przez placówkę</t>
  </si>
  <si>
    <t xml:space="preserve">sprawdzone 04.10.2026 [Z43]</t>
  </si>
  <si>
    <t xml:space="preserve">W-31</t>
  </si>
  <si>
    <t xml:space="preserve">Baza leków</t>
  </si>
  <si>
    <t xml:space="preserve">Baza leków (nazwy, substancje, opakowania, odpowiedniki)</t>
  </si>
  <si>
    <t xml:space="preserve">26, 27</t>
  </si>
  <si>
    <t xml:space="preserve">DANE PUBLICZNE + licencja dla interakcji</t>
  </si>
  <si>
    <t xml:space="preserve">Rejestr Produktów Leczniczych (eksport XML, bezpłatny); wykaz leków refundowanych</t>
  </si>
  <si>
    <t xml:space="preserve">BAZYL (Pharmindex); KS-BLOZ (Kamsoft)</t>
  </si>
  <si>
    <t xml:space="preserve">DrugBank</t>
  </si>
  <si>
    <t xml:space="preserve">RPL (lista, substancje, opakowania) — bez pokazywania interakcji</t>
  </si>
  <si>
    <t xml:space="preserve">Licencja BLOZ/Pharmindex dla interakcji w panelu lekarza (jeśli licencja i status wyrobu pozwalają)</t>
  </si>
  <si>
    <t xml:space="preserve">Rejestr Produktów Leczniczych (URPL) (1)</t>
  </si>
  <si>
    <t xml:space="preserve">Zgodne z plikiem; interakcje = funkcja kliniczna.</t>
  </si>
  <si>
    <t xml:space="preserve">Lista leków pacjenta, alergie (A20.3)</t>
  </si>
  <si>
    <t xml:space="preserve">Ostrzeżenia o interakcjach = potencjalnie wyrób</t>
  </si>
  <si>
    <t xml:space="preserve">Zaimplementowane: import RPL i wyszukiwanie leków</t>
  </si>
  <si>
    <t xml:space="preserve">W-32</t>
  </si>
  <si>
    <t xml:space="preserve">SOS i teleopieka 24/7</t>
  </si>
  <si>
    <t xml:space="preserve">Teleopieka: opaska albo przycisk z całodobowym centrum</t>
  </si>
  <si>
    <t xml:space="preserve">28</t>
  </si>
  <si>
    <t xml:space="preserve">WŁASNE (bezpłatne) + POŚREDNICTWO</t>
  </si>
  <si>
    <t xml:space="preserve">Przycisk „zadzwoń 112” (połączenie systemowe) + powiadomienie bliskich w aplikacji</t>
  </si>
  <si>
    <t xml:space="preserve">SiDLY Care (PL; opaska — wyrób klasy IIa, wykrywanie upadków, SOS); Comarch e-Care z Opaską Życia (PL; projekty samorządowe)</t>
  </si>
  <si>
    <t xml:space="preserve">Karta ratunkowa jako ekran</t>
  </si>
  <si>
    <t xml:space="preserve">Przycisk 112 + powiadomienie bliskich (bez obietnicy reakcji); teleopieka 24/7 — partner wybrany w naborze (SiDLY albo Comarch)</t>
  </si>
  <si>
    <t xml:space="preserve">Teleopieka partnera w pakiecie Senior</t>
  </si>
  <si>
    <t xml:space="preserve">Comarch (5)</t>
  </si>
  <si>
    <t xml:space="preserve">Dwóch polskich dostawców; wybór po ofercie i API (API Comarch e-Care niepotwierdzone publicznie).</t>
  </si>
  <si>
    <t xml:space="preserve">Karta ratunkowa, łańcuch powiadomień, dziennik zdarzeń</t>
  </si>
  <si>
    <t xml:space="preserve">Pakiet Senior 2028</t>
  </si>
  <si>
    <t xml:space="preserve">Wykrywanie upadku = wyrób (partner z CE); jasna informacja, że aplikacja nie zastępuje 112</t>
  </si>
  <si>
    <t xml:space="preserve">Częściowo: informacja o numerach alarmowych w stopce</t>
  </si>
  <si>
    <t xml:space="preserve">sprawdzone 14.10.2026 [Z37, Z38, Z75]</t>
  </si>
  <si>
    <t xml:space="preserve">W-33</t>
  </si>
  <si>
    <t xml:space="preserve">Dostępność — testy i audyt</t>
  </si>
  <si>
    <t xml:space="preserve">Narzędzia testów dostępności i audyt</t>
  </si>
  <si>
    <t xml:space="preserve">33</t>
  </si>
  <si>
    <t xml:space="preserve">OPEN SOURCE + audyt ludzki</t>
  </si>
  <si>
    <t xml:space="preserve">axe-core (MPL 2.0); Pa11y; Lighthouse (Apache 2.0); Playwright + axe</t>
  </si>
  <si>
    <t xml:space="preserve">Czytniki ekranu: VoiceOver, TalkBack, NVDA</t>
  </si>
  <si>
    <t xml:space="preserve">Audyt ekspercki WCAG 2.2 (PL)</t>
  </si>
  <si>
    <t xml:space="preserve">Deque axe DevTools Pro</t>
  </si>
  <si>
    <t xml:space="preserve">Kontrola ręczna</t>
  </si>
  <si>
    <t xml:space="preserve">axe w testach E2E + audyt ręczny przed wydaniem</t>
  </si>
  <si>
    <t xml:space="preserve">Audyt zewnętrzny (5–15 tys. zł wg pliku)</t>
  </si>
  <si>
    <t xml:space="preserve">Audyt co wydanie główne</t>
  </si>
  <si>
    <t xml:space="preserve">axe (Deque) i czytniki ekranu systemu (1)</t>
  </si>
  <si>
    <t xml:space="preserve">Tryb prostego języka (A23.2), duży kontrast</t>
  </si>
  <si>
    <t xml:space="preserve">Europejski akt o dostępności (od 28.06.2025); EN 301 549</t>
  </si>
  <si>
    <t xml:space="preserve">Częściowo: semantyka, fokus, kontrast; brak axe w CI — do dodania</t>
  </si>
  <si>
    <t xml:space="preserve">W-34</t>
  </si>
  <si>
    <t xml:space="preserve">Tłumaczenie interfejsu i treści</t>
  </si>
  <si>
    <t xml:space="preserve">Tłumaczenie maszynowe</t>
  </si>
  <si>
    <t xml:space="preserve">WŁASNY SŁOWNIK + usługa do szkiców</t>
  </si>
  <si>
    <t xml:space="preserve">Tolgee (platforma tłumaczy); Weblate (GPL); LibreTranslate (AGPL)</t>
  </si>
  <si>
    <t xml:space="preserve">DeepL (DE; nowe konta — plan Growth 29,75 EUR/mies. za 1 mln znaków; do potwierdzenia)</t>
  </si>
  <si>
    <t xml:space="preserve">Google Translate; modele językowe (W-11)</t>
  </si>
  <si>
    <t xml:space="preserve">Polski</t>
  </si>
  <si>
    <t xml:space="preserve">Słownik w kodzie (PL/EN gotowe, test kompletności) + DeepL do szkiców; treści medyczne zatwierdza człowiek</t>
  </si>
  <si>
    <t xml:space="preserve">Tolgee lub Weblate jako platforma tłumaczy + DeepL</t>
  </si>
  <si>
    <t xml:space="preserve">Jak MLP + tłumacze medyczni per kraj</t>
  </si>
  <si>
    <t xml:space="preserve">DeepL (1)</t>
  </si>
  <si>
    <t xml:space="preserve">Zgodne z plikiem; dodana warstwa przeglądu.</t>
  </si>
  <si>
    <t xml:space="preserve">Słownik, test kompletności, przegląd medyczny</t>
  </si>
  <si>
    <t xml:space="preserve">Trzeci język → platforma tłumaczy</t>
  </si>
  <si>
    <t xml:space="preserve">Treści medyczne nie są publikowane bez przeglądu</t>
  </si>
  <si>
    <t xml:space="preserve">Zaimplementowane: tłumaczenie PL→EN (ok. 844 teksty) z testem kompletności</t>
  </si>
  <si>
    <t xml:space="preserve">sprawdzone 04.10.2026 [Z36]</t>
  </si>
  <si>
    <t xml:space="preserve">W-35</t>
  </si>
  <si>
    <t xml:space="preserve">Flagi funkcji i wersje per kraj/klinika</t>
  </si>
  <si>
    <t xml:space="preserve">Flagi funkcji i konfiguracja wersji (kraj, klinika, pakiet)</t>
  </si>
  <si>
    <t xml:space="preserve">49, 11</t>
  </si>
  <si>
    <t xml:space="preserve">Unleash (Apache 2.0); Flagsmith (BSD-3); GrowthBook (open core)</t>
  </si>
  <si>
    <t xml:space="preserve">Unleash Pro (80 USD/mies.)</t>
  </si>
  <si>
    <t xml:space="preserve">Flagsmith Start-Up (40 USD/mies.); LaunchDarkly</t>
  </si>
  <si>
    <t xml:space="preserve">Zmienne środowiskowe</t>
  </si>
  <si>
    <t xml:space="preserve">Unleash na naszym serwerze w UE</t>
  </si>
  <si>
    <t xml:space="preserve">Unleash (2)</t>
  </si>
  <si>
    <t xml:space="preserve">Tryb degradacji (A18.8), wydania etapowe (A18.7)</t>
  </si>
  <si>
    <t xml:space="preserve">Zarządzanie zmianą (wyrób: kontrola wersji)</t>
  </si>
  <si>
    <t xml:space="preserve">Częściowo: przełączniki integracji w konfiguracji</t>
  </si>
  <si>
    <t xml:space="preserve">sprawdzone 04.10.2026 [Z50]</t>
  </si>
  <si>
    <t xml:space="preserve">W-36</t>
  </si>
  <si>
    <t xml:space="preserve">Bezpieczeństwo oprogramowania (SBOM, podatności, sekrety)</t>
  </si>
  <si>
    <t xml:space="preserve">Narzędzia bezpieczeństwa oprogramowania (skany, wykaz składników, sekrety)</t>
  </si>
  <si>
    <t xml:space="preserve">49</t>
  </si>
  <si>
    <t xml:space="preserve">OPEN SOURCE + usługi bezpłatne</t>
  </si>
  <si>
    <t xml:space="preserve">Syft (SBOM) + Grype (Anchore, Apache 2.0); OSV-Scanner (Apache 2.0); Dependency-Track (OWASP); Gitleaks (MIT); OpenBao (MPL 2.0); Trivy (tylko przypięty do skrótu)</t>
  </si>
  <si>
    <t xml:space="preserve">Dependabot, skanowanie sekretów GitHub</t>
  </si>
  <si>
    <t xml:space="preserve">Snyk</t>
  </si>
  <si>
    <t xml:space="preserve">Dependabot</t>
  </si>
  <si>
    <t xml:space="preserve">Dependabot + OSV-Scanner + Syft (SBOM CycloneDX) + Grype + Gitleaks; akcje CI przypięte do skrótu commita; sekrety w menedżerze chmury</t>
  </si>
  <si>
    <t xml:space="preserve">+ Dependency-Track (portfel SBOM), testy penetracyjne</t>
  </si>
  <si>
    <t xml:space="preserve">Jak MLP + program zgłaszania podatności</t>
  </si>
  <si>
    <t xml:space="preserve">Trivy i Dependabot + sejf sekretów + kopie zapasowe (1)</t>
  </si>
  <si>
    <t xml:space="preserve">Trivy i jego akcje GitHub skompromitowane 19.03.2026 (kradzież sekretów CI) — Grype/OSV-Scanner jako podstawa; Trivy tylko przypięty do skrótu i z weryfikacją.</t>
  </si>
  <si>
    <t xml:space="preserve">Polityka wydań, SBOM w każdym wydaniu (A18.9), reakcja na podatności</t>
  </si>
  <si>
    <t xml:space="preserve">Cyber Resilience Act — zgłaszanie podatności od 11.09.2026 (części poza MDR; wiedza ogólna)</t>
  </si>
  <si>
    <t xml:space="preserve">Brak w CI — do dodania</t>
  </si>
  <si>
    <t xml:space="preserve">sprawdzone 04.10.2026 [Z12]</t>
  </si>
  <si>
    <t xml:space="preserve">W-37</t>
  </si>
  <si>
    <t xml:space="preserve">Zgłoszenia użytkowników i incydenty</t>
  </si>
  <si>
    <t xml:space="preserve">System obsługi zgłoszeń użytkowników</t>
  </si>
  <si>
    <t xml:space="preserve">OPEN SOURCE / usługa z UE</t>
  </si>
  <si>
    <t xml:space="preserve">Zammad (AGPL); FreeScout (AGPL)</t>
  </si>
  <si>
    <t xml:space="preserve">Zammad na własnym serwerze</t>
  </si>
  <si>
    <t xml:space="preserve">Zammad Cloud (DE; Starter 7 EUR, Professional 16 EUR, Plus 25 EUR za agenta/mies.)</t>
  </si>
  <si>
    <t xml:space="preserve">Freshdesk; Zendesk</t>
  </si>
  <si>
    <t xml:space="preserve">E-mail</t>
  </si>
  <si>
    <t xml:space="preserve">Zammad Cloud Starter (hosting w DE) + formularz incydentu w aplikacji</t>
  </si>
  <si>
    <t xml:space="preserve">Zammad Professional</t>
  </si>
  <si>
    <t xml:space="preserve">Zammad (1)</t>
  </si>
  <si>
    <t xml:space="preserve">Formularz incydentu (A18.4), klasyfikacja zdarzeń, ścieżka do nadzoru po wprowadzeniu</t>
  </si>
  <si>
    <t xml:space="preserve">&gt;5 agentów → Professional</t>
  </si>
  <si>
    <t xml:space="preserve">Zgłoszenia mogą zawierać dane o zdrowiu — umowa powierzenia</t>
  </si>
  <si>
    <t xml:space="preserve">sprawdzone 14.10.2026 [Z61]</t>
  </si>
  <si>
    <t xml:space="preserve">W-38</t>
  </si>
  <si>
    <t xml:space="preserve">Nadzór nad AI (logi, wersje poleceń, testy)</t>
  </si>
  <si>
    <t xml:space="preserve">Narzędzia nadzoru nad AI (rejestr modeli, śledzenie zapytań, testy przed wydaniem)</t>
  </si>
  <si>
    <t xml:space="preserve">50</t>
  </si>
  <si>
    <t xml:space="preserve">Langfuse (MIT; od 01.2026 w ClickHouse, licencja bez zmian); MLflow (Apache 2.0); promptfoo (MIT)</t>
  </si>
  <si>
    <t xml:space="preserve">Langfuse Cloud (region UE)</t>
  </si>
  <si>
    <t xml:space="preserve">Langfuse na naszym serwerze (logi zapytań, wersje poleceń, oceny) + promptfoo w CI</t>
  </si>
  <si>
    <t xml:space="preserve">+ MLflow, gdy pojawią się własne modele</t>
  </si>
  <si>
    <t xml:space="preserve">Jak MLP + raporty dla audytu AI</t>
  </si>
  <si>
    <t xml:space="preserve">MLflow (1)</t>
  </si>
  <si>
    <t xml:space="preserve">Dla aplikacji opartej na gotowych modelach Langfuse lepiej pokrywa rejestr zapytań i oceny niż MLflow; MLflow od etapu własnych modeli.</t>
  </si>
  <si>
    <t xml:space="preserve">Karta modelu (A19.2), oznaczanie treści (A19.1), rejestr zastosowań (A19.6)</t>
  </si>
  <si>
    <t xml:space="preserve">Własny model → MLflow</t>
  </si>
  <si>
    <t xml:space="preserve">AI Act (przejrzystość; logi dla systemów wysokiego ryzyka od 2.12.2027 / 2.08.2028); ISO/IEC 42001</t>
  </si>
  <si>
    <t xml:space="preserve">sprawdzone 04.10.2026 [Z32, Z09]</t>
  </si>
  <si>
    <t xml:space="preserve">W-39</t>
  </si>
  <si>
    <t xml:space="preserve">Usługi prawne i regulacyjne (MDR, notariusz)</t>
  </si>
  <si>
    <t xml:space="preserve">Usługę wykonują ludzie partnera: kancelaria wyspecjalizowana w wyrobach medycznych; Usługę wykonują ludzie partnera: kancelaria albo notariusz (treść i poświadczenie dokumentu)</t>
  </si>
  <si>
    <t xml:space="preserve">49, 32, 38</t>
  </si>
  <si>
    <t xml:space="preserve">POŚREDNICTWO PARTNERA (ludzie)</t>
  </si>
  <si>
    <t xml:space="preserve">Kancelaria specjalizująca się w MDR/AI Act; jednostka notyfikowana (gdy wyrób); notariusz/kancelaria (dyspozycje medyczne)</t>
  </si>
  <si>
    <t xml:space="preserve">Kwalifikacja MDR i deklaracja przeznaczenia przez kancelarię (jednorazowo); dokumenty przez /dokument</t>
  </si>
  <si>
    <t xml:space="preserve">Jak MVP + przegląd roczny</t>
  </si>
  <si>
    <t xml:space="preserve">Partner do wyboru w naborze (2)</t>
  </si>
  <si>
    <t xml:space="preserve">Zgodne z plikiem — partner w naborze.</t>
  </si>
  <si>
    <t xml:space="preserve">Deklaracja przeznaczenia (A18.3), instrukcja (A18.1)</t>
  </si>
  <si>
    <t xml:space="preserve">MDR, AI Act, RODO</t>
  </si>
  <si>
    <t xml:space="preserve">COMPLIANCE.md opisuje granicę MDR</t>
  </si>
  <si>
    <t xml:space="preserve">nie dotyczy (usługa ludzi)</t>
  </si>
  <si>
    <t xml:space="preserve">W-40</t>
  </si>
  <si>
    <t xml:space="preserve">Dane syntetyczne</t>
  </si>
  <si>
    <t xml:space="preserve">Generatory danych syntetycznych</t>
  </si>
  <si>
    <t xml:space="preserve">39</t>
  </si>
  <si>
    <t xml:space="preserve">OPEN SOURCE</t>
  </si>
  <si>
    <t xml:space="preserve">Synthea (Apache 2.0)</t>
  </si>
  <si>
    <t xml:space="preserve">Synthea</t>
  </si>
  <si>
    <t xml:space="preserve">Synthea (testy, demo bez danych pacjentów)</t>
  </si>
  <si>
    <t xml:space="preserve">Synthea z profilami PL</t>
  </si>
  <si>
    <t xml:space="preserve">Synthea (1)</t>
  </si>
  <si>
    <t xml:space="preserve">Profile populacji PL</t>
  </si>
  <si>
    <t xml:space="preserve">Brak danych osobowych</t>
  </si>
  <si>
    <t xml:space="preserve">Dane demonstracyjne własne</t>
  </si>
  <si>
    <t xml:space="preserve">W-41</t>
  </si>
  <si>
    <t xml:space="preserve">Nabór i ocena projektów (Hub)</t>
  </si>
  <si>
    <t xml:space="preserve">Narzędzia naboru i obsługi zgłoszeń projektów</t>
  </si>
  <si>
    <t xml:space="preserve">42</t>
  </si>
  <si>
    <t xml:space="preserve">USŁUGA BEZPŁATNA / OPEN SOURCE</t>
  </si>
  <si>
    <t xml:space="preserve">Twenty CRM (AGPL); EspoCRM (AGPL)</t>
  </si>
  <si>
    <t xml:space="preserve">HubSpot CRM — plan bezpłatny + formularze</t>
  </si>
  <si>
    <t xml:space="preserve">HubSpot (płatne)</t>
  </si>
  <si>
    <t xml:space="preserve">Formularz</t>
  </si>
  <si>
    <t xml:space="preserve">HubSpot Free (bez danych o zdrowiu)</t>
  </si>
  <si>
    <t xml:space="preserve">HubSpot albo Twenty u nas</t>
  </si>
  <si>
    <t xml:space="preserve">HubSpot (1)</t>
  </si>
  <si>
    <t xml:space="preserve">Zgodne z plikiem; brak danych o zdrowiu.</t>
  </si>
  <si>
    <t xml:space="preserve">Ocena Rady Naukowej (A15.2)</t>
  </si>
  <si>
    <t xml:space="preserve">Dane kontaktowe — umowa powierzenia</t>
  </si>
  <si>
    <t xml:space="preserve">niesprawdzone w sieci 10.2026</t>
  </si>
  <si>
    <t xml:space="preserve">W-42</t>
  </si>
  <si>
    <t xml:space="preserve">Katalogi technologii</t>
  </si>
  <si>
    <t xml:space="preserve">Zewnętrzne katalogi technologii i transferu</t>
  </si>
  <si>
    <t xml:space="preserve">43</t>
  </si>
  <si>
    <t xml:space="preserve">DANE PUBLICZNE</t>
  </si>
  <si>
    <t xml:space="preserve">Enterprise Europe Network (bezpłatne)</t>
  </si>
  <si>
    <t xml:space="preserve">Enterprise Europe Network</t>
  </si>
  <si>
    <t xml:space="preserve">Enterprise Europe Network (1)</t>
  </si>
  <si>
    <t xml:space="preserve">Scoring (A16.7), dopasowanie (A16.3)</t>
  </si>
  <si>
    <t xml:space="preserve">W-43</t>
  </si>
  <si>
    <t xml:space="preserve">Bazy żywieniowe</t>
  </si>
  <si>
    <t xml:space="preserve">Bazy i interfejsy żywieniowe (produkty, wartości odżywcze, wyszukiwarka)</t>
  </si>
  <si>
    <t xml:space="preserve">13, 16</t>
  </si>
  <si>
    <t xml:space="preserve">DANE OTWARTE u nas + licencja przy potrzebie</t>
  </si>
  <si>
    <t xml:space="preserve">Open Food Facts (ODbL — zrzut bazy u nas); USDA FoodData Central (CC0)</t>
  </si>
  <si>
    <t xml:space="preserve">Open Food Facts API (limity: 15 odczytów i 10 wyszukiwań/min na IP); FatSecret Premier Free (tylko dane USA)</t>
  </si>
  <si>
    <t xml:space="preserve">FatSecret Platform Premier (56+ krajów); Edamam (14 / 69 / 299 USD/mies.); Nutritionix</t>
  </si>
  <si>
    <t xml:space="preserve">Open Food Facts — zrzut bazy u nas (limity API wykluczają produkcję przez API) + polskie tabele składu (licencja do potwierdzenia)</t>
  </si>
  <si>
    <t xml:space="preserve">FatSecret Premier dla rynku PL, jeśli pokrycie OFF niewystarczające</t>
  </si>
  <si>
    <t xml:space="preserve">Open Food Facts (6)</t>
  </si>
  <si>
    <t xml:space="preserve">Open Food Facts zgodnie z plikiem, ale przez zrzut bazy — limity API są za niskie.</t>
  </si>
  <si>
    <t xml:space="preserve">Dziennik posiłków, makroskładniki, alergeny (F11.12)</t>
  </si>
  <si>
    <t xml:space="preserve">Braki polskich produktów → FatSecret</t>
  </si>
  <si>
    <t xml:space="preserve">ODbL: atrybucja i udostępnianie zmian bazy produktów (nie danych użytkowników)</t>
  </si>
  <si>
    <t xml:space="preserve">sprawdzone 14.10.2026 [Z57, Z58, Z59]</t>
  </si>
  <si>
    <t xml:space="preserve">W-44</t>
  </si>
  <si>
    <t xml:space="preserve">Przepisy i jadłospisy</t>
  </si>
  <si>
    <t xml:space="preserve">Interfejsy przepisów i jadłospisów</t>
  </si>
  <si>
    <t xml:space="preserve">13</t>
  </si>
  <si>
    <t xml:space="preserve">WŁASNE (redakcja) + model językowy</t>
  </si>
  <si>
    <t xml:space="preserve">Edamam Recipe API; Spoonacular</t>
  </si>
  <si>
    <t xml:space="preserve">Własna baza przepisów (dietetyk) + model językowy do wariantów</t>
  </si>
  <si>
    <t xml:space="preserve">własna baza przepisów (redakcja) + model językowy (3)</t>
  </si>
  <si>
    <t xml:space="preserve">Redakcja, alergeny, oznaczenie treści AI</t>
  </si>
  <si>
    <t xml:space="preserve">Dieta lecznicza tylko z dietetykiem</t>
  </si>
  <si>
    <t xml:space="preserve">W-45</t>
  </si>
  <si>
    <t xml:space="preserve">Biblioteka ćwiczeń</t>
  </si>
  <si>
    <t xml:space="preserve">Biblioteki ćwiczeń i platformy zlecania ćwiczeń</t>
  </si>
  <si>
    <t xml:space="preserve">14, 32</t>
  </si>
  <si>
    <t xml:space="preserve">WŁASNA BIBLIOTEKA + licencja B2B</t>
  </si>
  <si>
    <t xml:space="preserve">wger (AGPL; baza ćwiczeń CC-BY-SA)</t>
  </si>
  <si>
    <t xml:space="preserve">Physitrack (UK; 18 000+ filmów; od 17,99 GBP / 23,99 USD za terapeutę/mies.)</t>
  </si>
  <si>
    <t xml:space="preserve">MedBridge; Wibbi</t>
  </si>
  <si>
    <t xml:space="preserve">Własna biblioteka 50–100 filmów (z fizjoterapeutą) + opisy z wger</t>
  </si>
  <si>
    <t xml:space="preserve">Physitrack w pakietach z terapeutą (B2B)</t>
  </si>
  <si>
    <t xml:space="preserve">Physitrack (1)</t>
  </si>
  <si>
    <t xml:space="preserve">Physitrack licencjonuje per terapeutę (B2B), nie per pacjenta B2C — pasuje do pakietów z terapeutą, nie do biblioteki wellness.</t>
  </si>
  <si>
    <t xml:space="preserve">Plany ćwiczeń, postęp</t>
  </si>
  <si>
    <t xml:space="preserve">Pakiet rehabilitacji z terapeutą</t>
  </si>
  <si>
    <t xml:space="preserve">Rehabilitacja medyczna — terapeuta</t>
  </si>
  <si>
    <t xml:space="preserve">sprawdzone 14.10.2026 [Z48]</t>
  </si>
  <si>
    <t xml:space="preserve">W-46</t>
  </si>
  <si>
    <t xml:space="preserve">Ocena ruchu kamerą telefonu</t>
  </si>
  <si>
    <t xml:space="preserve">Ocena ruchu i postawy kamerą telefonu</t>
  </si>
  <si>
    <t xml:space="preserve">14</t>
  </si>
  <si>
    <t xml:space="preserve">OPEN SOURCE na urządzeniu</t>
  </si>
  <si>
    <t xml:space="preserve">MediaPipe Pose (Apache 2.0)</t>
  </si>
  <si>
    <t xml:space="preserve">MediaPipe</t>
  </si>
  <si>
    <t xml:space="preserve">MediaPipe na urządzeniu (obraz nie opuszcza telefonu)</t>
  </si>
  <si>
    <t xml:space="preserve">MediaPipe (1)</t>
  </si>
  <si>
    <t xml:space="preserve">Wskazówki ogólne (wellness)</t>
  </si>
  <si>
    <t xml:space="preserve">Ocena postawy w celach terapeutycznych = wyrób</t>
  </si>
  <si>
    <t xml:space="preserve">W-47</t>
  </si>
  <si>
    <t xml:space="preserve">Zajęcia sportowe i karty</t>
  </si>
  <si>
    <t xml:space="preserve">Zajęcia sportowe, studia i karty sportowe</t>
  </si>
  <si>
    <t xml:space="preserve">MultiSport (Benefit Systems, PL)</t>
  </si>
  <si>
    <t xml:space="preserve">MultiSport (odnośnik/partnerstwo, bez danych o zdrowiu do partnera)</t>
  </si>
  <si>
    <t xml:space="preserve">MultiSport (Benefit Systems) (1)</t>
  </si>
  <si>
    <t xml:space="preserve">Zasady stałe: bez sprzedaży danych</t>
  </si>
  <si>
    <t xml:space="preserve">W-48</t>
  </si>
  <si>
    <t xml:space="preserve">Programy zmiany nawyków (treści)</t>
  </si>
  <si>
    <t xml:space="preserve">Platformy dobrostanu i programów zmiany nawyków dla firm</t>
  </si>
  <si>
    <t xml:space="preserve">12, 29, 40</t>
  </si>
  <si>
    <t xml:space="preserve">WŁASNE TREŚCI zatwierdzone przez specjalistę</t>
  </si>
  <si>
    <t xml:space="preserve">Mindgram, Wellbee, HearMe (PL; specjaliści dla firm)</t>
  </si>
  <si>
    <t xml:space="preserve">Własna biblioteka treści zatwierdzona przez psychologa</t>
  </si>
  <si>
    <t xml:space="preserve">+ partnerzy specjalistów</t>
  </si>
  <si>
    <t xml:space="preserve">własna biblioteka treści zatwierdzona przez psychologa + konto firmy w naszej aplikacji (2)</t>
  </si>
  <si>
    <t xml:space="preserve">Program 8 tygodni (F9.7), wyzwania (F15.7)</t>
  </si>
  <si>
    <t xml:space="preserve">Terapia bezsenności (CBT-I) = wyrób</t>
  </si>
  <si>
    <t xml:space="preserve">W-49</t>
  </si>
  <si>
    <t xml:space="preserve">Suplementy (zestawy partnera)</t>
  </si>
  <si>
    <t xml:space="preserve">Spersonalizowane zestawy suplementów (ankieta, zestaw, dostawa)</t>
  </si>
  <si>
    <t xml:space="preserve">15</t>
  </si>
  <si>
    <t xml:space="preserve">DO DECYZJI — konflikt z zasadami stałymi</t>
  </si>
  <si>
    <t xml:space="preserve">Neutralna informacja edukacyjna</t>
  </si>
  <si>
    <t xml:space="preserve">Sundose (PL)</t>
  </si>
  <si>
    <t xml:space="preserve">Nie w MVP: tylko neutralna informacja i eksport danych na żądanie użytkownika; bez automatycznych sugestii produktów</t>
  </si>
  <si>
    <t xml:space="preserve">Partner wyłącznie po ocenie zgodności (konflikt interesów, art. 9 RODO, przepisy o suplementach)</t>
  </si>
  <si>
    <t xml:space="preserve">Sundose (2)</t>
  </si>
  <si>
    <t xml:space="preserve">Automatyczne sugestie suplementów od partnera handlowego na podstawie danych o zdrowiu = sterowanie zakupami i udostępnianie danych o zdrowiu w celu sprzedaży — sprzeczne z zasadami stałymi projektu.</t>
  </si>
  <si>
    <t xml:space="preserve">Decyzja zarządu po opinii prawnej</t>
  </si>
  <si>
    <t xml:space="preserve">Zasady stałe Eternal; RODO art. 9; zakaz przypisywania suplementom właściwości leczniczych</t>
  </si>
  <si>
    <t xml:space="preserve">ocena zgodności z zasadami pliku</t>
  </si>
  <si>
    <t xml:space="preserve">W-50</t>
  </si>
  <si>
    <t xml:space="preserve">Dozowniki leków</t>
  </si>
  <si>
    <t xml:space="preserve">Dozowniki i organizery leków z rejestracją pobrania</t>
  </si>
  <si>
    <t xml:space="preserve">44, 26</t>
  </si>
  <si>
    <t xml:space="preserve">Evondos (FI; automat dozujący dla opieki domowej; 100 mln dawek; UK od 04.2026)</t>
  </si>
  <si>
    <t xml:space="preserve">Evondos w pakiecie Station/Senior (saszetki z apteki)</t>
  </si>
  <si>
    <t xml:space="preserve">Evondos (1)</t>
  </si>
  <si>
    <t xml:space="preserve">Zgodne z plikiem; dozuje saszetki przygotowane przez aptekę — bez własnych mieszanek (zasada stała).</t>
  </si>
  <si>
    <t xml:space="preserve">Przypomnienia i potwierdzenia przyjęcia</t>
  </si>
  <si>
    <t xml:space="preserve">Wyrób medyczny producenta</t>
  </si>
  <si>
    <t xml:space="preserve">sprawdzone 14.10.2026 [Z63]</t>
  </si>
  <si>
    <t xml:space="preserve">W-51</t>
  </si>
  <si>
    <t xml:space="preserve">Dane pogodowe</t>
  </si>
  <si>
    <t xml:space="preserve">16</t>
  </si>
  <si>
    <t xml:space="preserve">DANE PUBLICZNE + licencja komercyjna</t>
  </si>
  <si>
    <t xml:space="preserve">IMGW — dane publiczne (bieżące); Open-Meteo — bezpłatne tylko niekomercyjnie</t>
  </si>
  <si>
    <t xml:space="preserve">Open-Meteo Standard (29 USD/mies.; licencja komercyjna, prognozy i jakość powietrza)</t>
  </si>
  <si>
    <t xml:space="preserve">OpenWeatherMap</t>
  </si>
  <si>
    <t xml:space="preserve">IMGW</t>
  </si>
  <si>
    <t xml:space="preserve">IMGW (bieżące) + Open-Meteo Standard (prognozy)</t>
  </si>
  <si>
    <t xml:space="preserve">Open-Meteo Professional (99 USD) przy skali</t>
  </si>
  <si>
    <t xml:space="preserve">IMGW (1)</t>
  </si>
  <si>
    <t xml:space="preserve">IMGW zgodnie z plikiem dla bieżących danych; prognozy w użyciu komercyjnym wymagają planu płatnego Open-Meteo.</t>
  </si>
  <si>
    <t xml:space="preserve">Planer dnia (F5.5)</t>
  </si>
  <si>
    <t xml:space="preserve">&gt;1 mln zapytań/mies.</t>
  </si>
  <si>
    <t xml:space="preserve">Licencja komercyjna danych</t>
  </si>
  <si>
    <t xml:space="preserve">sprawdzone 14.10.2026 [Z35]</t>
  </si>
  <si>
    <t xml:space="preserve">W-52</t>
  </si>
  <si>
    <t xml:space="preserve">Jakość powietrza</t>
  </si>
  <si>
    <t xml:space="preserve">Dane o jakości powietrza</t>
  </si>
  <si>
    <t xml:space="preserve">GIOŚ — nowe API (stare usługi wyłączone po 30.06.2025)</t>
  </si>
  <si>
    <t xml:space="preserve">Airly (PL; gęsta sieć czujników); Open-Meteo Air Quality (prognozy CAMS, w planie Standard)</t>
  </si>
  <si>
    <t xml:space="preserve">GIOŚ</t>
  </si>
  <si>
    <t xml:space="preserve">GIOŚ (nowe API) + prognozy z Open-Meteo</t>
  </si>
  <si>
    <t xml:space="preserve">+ Airly w miastach</t>
  </si>
  <si>
    <t xml:space="preserve">GIOŚ (1)</t>
  </si>
  <si>
    <t xml:space="preserve">Zgodne z plikiem; uwaga na nowe API GIOŚ.</t>
  </si>
  <si>
    <t xml:space="preserve">Alerty strefy smogu (F5.17)</t>
  </si>
  <si>
    <t xml:space="preserve">sprawdzone 14.10.2026 [Z34, Z35]</t>
  </si>
  <si>
    <t xml:space="preserve">W-53</t>
  </si>
  <si>
    <t xml:space="preserve">Zdalne monitorowanie ciąży</t>
  </si>
  <si>
    <t xml:space="preserve">Zdalne monitorowanie ciąży (urządzenie z certyfikatem i ocena)</t>
  </si>
  <si>
    <t xml:space="preserve">30</t>
  </si>
  <si>
    <t xml:space="preserve">Pregnabit (Nestmedic, PL; firma działa, przygotowuje certyfikację FDA)</t>
  </si>
  <si>
    <t xml:space="preserve">Pregnabit przez placówki (B2B); aplikacja pokazuje terminy i dokumenty</t>
  </si>
  <si>
    <t xml:space="preserve">Pregnabit (Nestmedic) (1)</t>
  </si>
  <si>
    <t xml:space="preserve">Dziennik ciąży (A21.3)</t>
  </si>
  <si>
    <t xml:space="preserve">KTG = wyrób; ocena tylko przez centrum partnera</t>
  </si>
  <si>
    <t xml:space="preserve">sprawdzone 14.10.2026 [Z27]</t>
  </si>
  <si>
    <t xml:space="preserve">W-54</t>
  </si>
  <si>
    <t xml:space="preserve">Oprogramowanie dla opiekunów</t>
  </si>
  <si>
    <t xml:space="preserve">Oprogramowanie dla domów opieki i opiekunów</t>
  </si>
  <si>
    <t xml:space="preserve">31</t>
  </si>
  <si>
    <t xml:space="preserve">WŁASNE</t>
  </si>
  <si>
    <t xml:space="preserve">Własny moduł zadań opiekuna połączony z rodziną i lekarzem</t>
  </si>
  <si>
    <t xml:space="preserve">własny moduł zadań opiekuna połączony z rodziną i lekarzem (1)</t>
  </si>
  <si>
    <t xml:space="preserve">Uprawnienia opiekuna (W-04)</t>
  </si>
  <si>
    <t xml:space="preserve">Pełnomocnictwa i zgody</t>
  </si>
  <si>
    <t xml:space="preserve">W-55</t>
  </si>
  <si>
    <t xml:space="preserve">Treści — baza wiedzy (CMS)</t>
  </si>
  <si>
    <t xml:space="preserve">System zarządzania treścią (baza wiedzy, artykuły)</t>
  </si>
  <si>
    <t xml:space="preserve">40, 10</t>
  </si>
  <si>
    <t xml:space="preserve">Strapi 5 (MIT); Payload (MIT; przejęty przez Figma — chmura Payload zamknięta dla nowych); Directus (licencja BSL)</t>
  </si>
  <si>
    <t xml:space="preserve">Strapi Community</t>
  </si>
  <si>
    <t xml:space="preserve">Strapi Cloud (35 / 90 / 450 USD/mies.)</t>
  </si>
  <si>
    <t xml:space="preserve">Strapi na naszym serwerze</t>
  </si>
  <si>
    <t xml:space="preserve">Strapi (2)</t>
  </si>
  <si>
    <t xml:space="preserve">Redakcja medyczna, wersje, źródła do asystenta (W-13)</t>
  </si>
  <si>
    <t xml:space="preserve">Treści zdrowotne — przegląd specjalisty</t>
  </si>
  <si>
    <t xml:space="preserve">sprawdzone 14.10.2026 [Z51, Z52]</t>
  </si>
  <si>
    <t xml:space="preserve">W-56</t>
  </si>
  <si>
    <t xml:space="preserve">Forum i społeczność</t>
  </si>
  <si>
    <t xml:space="preserve">Silnik forum i społeczności</t>
  </si>
  <si>
    <t xml:space="preserve">40</t>
  </si>
  <si>
    <t xml:space="preserve">Discourse (GPL)</t>
  </si>
  <si>
    <t xml:space="preserve">Discourse na własnym serwerze</t>
  </si>
  <si>
    <t xml:space="preserve">Discourse hosting: Starter 20, Pro 100, Business 500 USD/mies. (od 16.06.2026)</t>
  </si>
  <si>
    <t xml:space="preserve">Discourse na naszym serwerze z moderacją i ścieżką kryzysową</t>
  </si>
  <si>
    <t xml:space="preserve">Discourse (5)</t>
  </si>
  <si>
    <t xml:space="preserve">Logowanie przez Keycloak, moderacja, ścieżka kryzysowa</t>
  </si>
  <si>
    <t xml:space="preserve">Treści użytkowników o zdrowiu — moderacja; DSA</t>
  </si>
  <si>
    <t xml:space="preserve">sprawdzone 14.10.2026 [Z60]</t>
  </si>
  <si>
    <t xml:space="preserve">W-57</t>
  </si>
  <si>
    <t xml:space="preserve">Webinary i wydarzenia na żywo</t>
  </si>
  <si>
    <t xml:space="preserve">Platformy webinarów i transmisji</t>
  </si>
  <si>
    <t xml:space="preserve">KUPUJEMY USŁUGĘ</t>
  </si>
  <si>
    <t xml:space="preserve">LiveKit / Jitsi (W-22)</t>
  </si>
  <si>
    <t xml:space="preserve">ClickMeeting (PL; Live 32 USD, Automated 48 USD/mies.)</t>
  </si>
  <si>
    <t xml:space="preserve">Zoom Webinars</t>
  </si>
  <si>
    <t xml:space="preserve">ClickMeeting</t>
  </si>
  <si>
    <t xml:space="preserve">ClickMeeting albo LiveKit w aplikacji</t>
  </si>
  <si>
    <t xml:space="preserve">ClickMeeting (3)</t>
  </si>
  <si>
    <t xml:space="preserve">Zapisy, przypomnienia</t>
  </si>
  <si>
    <t xml:space="preserve">sprawdzone 14.10.2026 [Z62]</t>
  </si>
  <si>
    <t xml:space="preserve">W-58</t>
  </si>
  <si>
    <t xml:space="preserve">Organizacje pacjentów (prowadzący grupy)</t>
  </si>
  <si>
    <t xml:space="preserve">Usługę wykonują ludzie partnera: organizacje pacjentów (prowadzący i wiedza)</t>
  </si>
  <si>
    <t xml:space="preserve">Partnerzy w naborze</t>
  </si>
  <si>
    <t xml:space="preserve">Partner w naborze</t>
  </si>
  <si>
    <t xml:space="preserve">Partner do wyboru w naborze (3)</t>
  </si>
  <si>
    <t xml:space="preserve">Grupy (A9.6)</t>
  </si>
  <si>
    <t xml:space="preserve">W-59</t>
  </si>
  <si>
    <t xml:space="preserve">Sprzedaż treści (e-booki, kursy)</t>
  </si>
  <si>
    <t xml:space="preserve">Platformy kursów i sprzedaży treści</t>
  </si>
  <si>
    <t xml:space="preserve">40, 43</t>
  </si>
  <si>
    <t xml:space="preserve">WŁASNY SILNIK SPRZEDAŻY</t>
  </si>
  <si>
    <t xml:space="preserve">PayU, Przelewy24 (PL)</t>
  </si>
  <si>
    <t xml:space="preserve">Stripe; RevenueCat (zakupy w aplikacji)</t>
  </si>
  <si>
    <t xml:space="preserve">Wspólny silnik sprzedaży (marketplace) z biblioteką własną</t>
  </si>
  <si>
    <t xml:space="preserve">wspólny silnik sprzedaży (ten sam co marketplace) z biblioteką własną (1)</t>
  </si>
  <si>
    <t xml:space="preserve">Zgodne z plikiem; treści cyfrowe w aplikacji mobilnej podlegają zasadom sklepów (zakupy w aplikacji).</t>
  </si>
  <si>
    <t xml:space="preserve">Biblioteka</t>
  </si>
  <si>
    <t xml:space="preserve">Zasady App Store/Google Play</t>
  </si>
  <si>
    <t xml:space="preserve">W-60</t>
  </si>
  <si>
    <t xml:space="preserve">Wydarzenia lokalne</t>
  </si>
  <si>
    <t xml:space="preserve">Serwisy wydarzeń i biletów</t>
  </si>
  <si>
    <t xml:space="preserve">Kalendarz własny z zapisami</t>
  </si>
  <si>
    <t xml:space="preserve">kalendarz własny z zapisami (1)</t>
  </si>
  <si>
    <t xml:space="preserve">Eksport ICS gotowy</t>
  </si>
  <si>
    <t xml:space="preserve">W-61</t>
  </si>
  <si>
    <t xml:space="preserve">Model ciała 3D</t>
  </si>
  <si>
    <t xml:space="preserve">Modele i silniki anatomii 3D</t>
  </si>
  <si>
    <t xml:space="preserve">36</t>
  </si>
  <si>
    <t xml:space="preserve">Three.js (MIT) + otwarte modele anatomii (Z-Anatomy / BodyParts3D, CC BY-SA — licencja do potwierdzenia)</t>
  </si>
  <si>
    <t xml:space="preserve">BioDigital Human API; Zygote</t>
  </si>
  <si>
    <t xml:space="preserve">Three.js + otwarty model anatomii (statyczny widok, kolory stanu danych)</t>
  </si>
  <si>
    <t xml:space="preserve">3D Slicer (1)</t>
  </si>
  <si>
    <t xml:space="preserve">3D Slicer służy do obrazowania medycznego (DICOM) na komputerze, nie do modelu ciała w aplikacji.</t>
  </si>
  <si>
    <t xml:space="preserve">Nakładka biomarkerów (F14.2) bez oceny klinicznej</t>
  </si>
  <si>
    <t xml:space="preserve">Kolorowanie „wg stanu” bez oceny klinicznej</t>
  </si>
  <si>
    <t xml:space="preserve">W-62</t>
  </si>
  <si>
    <t xml:space="preserve">Genetyka (laboratorium z poradnictwem)</t>
  </si>
  <si>
    <t xml:space="preserve">Laboratoria genetyczne (badanie, raport, poradnictwo; farmakogenetyka)</t>
  </si>
  <si>
    <t xml:space="preserve">35</t>
  </si>
  <si>
    <t xml:space="preserve">Polskie laboratorium genetyczne z poradnictwem — nabór</t>
  </si>
  <si>
    <t xml:space="preserve">Partner w naborze (2029–2030)</t>
  </si>
  <si>
    <t xml:space="preserve">polskie laboratorium genetyczne z poradnictwem (10)</t>
  </si>
  <si>
    <t xml:space="preserve">Zgodne z plikiem; poza horyzontem sprawdzenia.</t>
  </si>
  <si>
    <t xml:space="preserve">Sejf danych genetycznych</t>
  </si>
  <si>
    <t xml:space="preserve">IVDR, poradnictwo genetyczne, RODO art. 9</t>
  </si>
  <si>
    <t xml:space="preserve">poza horyzontem 2027–2028 — rynek nie sprawdzany w 10.2026; sprawdzić w 2028</t>
  </si>
  <si>
    <t xml:space="preserve">W-63</t>
  </si>
  <si>
    <t xml:space="preserve">Zdrowie zwierząt (Pet)</t>
  </si>
  <si>
    <t xml:space="preserve">Programy do prowadzenia lecznic weterynaryjnych; Obroże i lokalizatory dla zwierząt; Urządzenia domowe dla zwierząt (miska z wagą, poidło, kuweta, kamera); Teleporady weterynaryjne i lecznice; Chipy identyfikacyjne dla zwierząt (także z czujnikiem temperatury)</t>
  </si>
  <si>
    <t xml:space="preserve">45, 46</t>
  </si>
  <si>
    <t xml:space="preserve">POŚREDNICTWO PARTNERÓW</t>
  </si>
  <si>
    <t xml:space="preserve">Tractive (AT; lokalizatory); programy lecznic — nabór</t>
  </si>
  <si>
    <t xml:space="preserve">Sure Petcare (UK); Destron Fearing (US)</t>
  </si>
  <si>
    <t xml:space="preserve">Partnerzy z pliku (2029–2030)</t>
  </si>
  <si>
    <t xml:space="preserve">Destron Fearing (3); integracja z programem lecznicy partnerskiej (do wyboru w naborze) (1); Tractive (1)</t>
  </si>
  <si>
    <t xml:space="preserve">Profil zwierzęcia</t>
  </si>
  <si>
    <t xml:space="preserve">W-64</t>
  </si>
  <si>
    <t xml:space="preserve">Ciągły pomiar glukozy (CGM)</t>
  </si>
  <si>
    <t xml:space="preserve">Czujniki ciągłego pomiaru glukozy (producent z certyfikatem)</t>
  </si>
  <si>
    <t xml:space="preserve">46, 3</t>
  </si>
  <si>
    <t xml:space="preserve">POŚREDNICTWO PRODUCENTA</t>
  </si>
  <si>
    <t xml:space="preserve">Odczyt przez Health Connect / HealthKit (jeśli producent zapisuje)</t>
  </si>
  <si>
    <t xml:space="preserve">Dexcom (program partnerski API); Abbott FreeStyle Libre</t>
  </si>
  <si>
    <t xml:space="preserve">Dexcom (2029–2030) albo odczyt przez system telefonu</t>
  </si>
  <si>
    <t xml:space="preserve">Dexcom (1)</t>
  </si>
  <si>
    <t xml:space="preserve">Wykres glukozy bez alarmów własnych</t>
  </si>
  <si>
    <t xml:space="preserve">Alarmy glikemii = wyrób</t>
  </si>
  <si>
    <t xml:space="preserve">W-65</t>
  </si>
  <si>
    <t xml:space="preserve">Cyfrowy spadek (testament danych)</t>
  </si>
  <si>
    <t xml:space="preserve">Serwisy cyfrowego spadku i dyspozycji</t>
  </si>
  <si>
    <t xml:space="preserve">38</t>
  </si>
  <si>
    <t xml:space="preserve">WŁASNE + notariusz</t>
  </si>
  <si>
    <t xml:space="preserve">Kancelaria/notariusz partner</t>
  </si>
  <si>
    <t xml:space="preserve">Własne archiwum z dyspozycją użytkownika (2029–2030)</t>
  </si>
  <si>
    <t xml:space="preserve">własne archiwum z dyspozycją użytkownika + kancelaria albo notariusz partner (1)</t>
  </si>
  <si>
    <t xml:space="preserve">Dyspozycje, przekazanie</t>
  </si>
  <si>
    <t xml:space="preserve">Prawo spadkowe, RODO (dane zmarłych — prawo krajowe)</t>
  </si>
  <si>
    <t xml:space="preserve">W-66</t>
  </si>
  <si>
    <t xml:space="preserve">Środowiska 3D/VR</t>
  </si>
  <si>
    <t xml:space="preserve">Środowiska 3D i wirtualnej rzeczywistości</t>
  </si>
  <si>
    <t xml:space="preserve">37, 36</t>
  </si>
  <si>
    <t xml:space="preserve">SILNIK GOTOWY</t>
  </si>
  <si>
    <t xml:space="preserve">WebXR + Three.js (MIT); Godot (MIT)</t>
  </si>
  <si>
    <t xml:space="preserve">Unity; Unreal Engine (standard OpenXR)</t>
  </si>
  <si>
    <t xml:space="preserve">Unity albo Unreal z OpenXR (2029–2030)</t>
  </si>
  <si>
    <t xml:space="preserve">Unity albo Unreal Engine ze standardem OpenXR (1)</t>
  </si>
  <si>
    <t xml:space="preserve">Integracja z bliźniakiem (X2.6)</t>
  </si>
  <si>
    <t xml:space="preserve">W-90</t>
  </si>
  <si>
    <t xml:space="preserve">Funkcja systemu telefonu, przeglądarki lub urządzenia (nie kupujemy)</t>
  </si>
  <si>
    <t xml:space="preserve">Funkcję daje ustawienia systemu telefonu — nie kupujemy jej; Funkcję daje czytniki ekranu systemu telefonu — nie kupujemy jej; Funkcję daje system telefonu (skaner dokumentów) — nie kupujemy jej; Funkcję daje system telefonu (Apple, Google) — nie kupujemy jej; Funkcję daje system telefonu i usługa kluczy w chmurze — nie kupujemy jej; Funkcję daje przeglądarka i telefon (nagrywanie dźwięku) — nie kupujemy jej; Funkcję daje producenci zegarków i aplikacje treningowe (plany w cenie urządzenia) — nie kupujemy jej; Funkcję daje producenci zegarków i aplikacje trenerskie — nie kupujemy jej; Funkcję daje producent czujnika (gdy wprowadzi wyrób) — nie kupujemy jej</t>
  </si>
  <si>
    <t xml:space="preserve">różne</t>
  </si>
  <si>
    <t xml:space="preserve">SYSTEM</t>
  </si>
  <si>
    <t xml:space="preserve">Biometria, skaner dokumentów, czytniki ekranu, nagrywanie dźwięku, Secure Enclave/KeyStore, plany producentów zegarków</t>
  </si>
  <si>
    <t xml:space="preserve">Funkcja systemu</t>
  </si>
  <si>
    <t xml:space="preserve">Funkcja systemu + nasza obsługa w aplikacji</t>
  </si>
  <si>
    <t xml:space="preserve">Przeglądarka i telefon (nagrywanie dźwięku) (3); Producenci zegarków i aplikacje treningowe (plany w cenie urządzenia) (2); Ustawienia systemu telefonu (1)</t>
  </si>
  <si>
    <t xml:space="preserve">Zgodne z plikiem — bez wyboru dostawcy.</t>
  </si>
  <si>
    <t xml:space="preserve">Obsługa w aplikacji, zgody, dostępność</t>
  </si>
  <si>
    <t xml:space="preserve">Częściowo (PWA); pełny dostęp w aplikacji mobilnej</t>
  </si>
  <si>
    <t xml:space="preserve">nie dotyczy</t>
  </si>
  <si>
    <t xml:space="preserve">W-99</t>
  </si>
  <si>
    <t xml:space="preserve">Funkcja własna na wspólnych komponentach (W2)</t>
  </si>
  <si>
    <t xml:space="preserve">Nie ma gotowego rozwiązania do kupienia — funkcja powstaje u nas</t>
  </si>
  <si>
    <t xml:space="preserve">WŁASNE na komponentach z W2</t>
  </si>
  <si>
    <t xml:space="preserve">Komponenty z arkusza W2</t>
  </si>
  <si>
    <t xml:space="preserve">Prosta wersja w aplikacji</t>
  </si>
  <si>
    <t xml:space="preserve">Budujemy w aplikacji Eternal na komponentach W2</t>
  </si>
  <si>
    <t xml:space="preserve">— (brak ★ w pliku)</t>
  </si>
  <si>
    <t xml:space="preserve">Plik: nie ma gotowego rozwiązania do kupienia — funkcja powstaje u nas.</t>
  </si>
  <si>
    <t xml:space="preserve">Cała funkcja</t>
  </si>
  <si>
    <t xml:space="preserve">Pojawi się gotowe rozwiązanie z CE / API → ponowna ocena</t>
  </si>
  <si>
    <t xml:space="preserve">Sprawdzić granicę MDR dla każdej funkcji (uwagi w W3)</t>
  </si>
  <si>
    <t xml:space="preserve">Zob. kolumna uwag w W3</t>
  </si>
  <si>
    <t xml:space="preserve">W2 — KOMPONENTY TECHNICZNE WSPÓLNE (platforma pod wszystkimi funkcjami)</t>
  </si>
  <si>
    <t xml:space="preserve">Komponenty, z których budujemy funkcje własne (W-99) i warstwę kontroli nad usługami kupionymi. Zgodne z obecną aplikacją Eternal (app/).</t>
  </si>
  <si>
    <t xml:space="preserve">ID</t>
  </si>
  <si>
    <t xml:space="preserve">Warstwa</t>
  </si>
  <si>
    <t xml:space="preserve">Komponent</t>
  </si>
  <si>
    <t xml:space="preserve">Open source (licencja)</t>
  </si>
  <si>
    <t xml:space="preserve">Usługa / płatne</t>
  </si>
  <si>
    <t xml:space="preserve">★ DEMO</t>
  </si>
  <si>
    <t xml:space="preserve">★ FINAL</t>
  </si>
  <si>
    <t xml:space="preserve">Ryzyko licencji / dostawcy</t>
  </si>
  <si>
    <t xml:space="preserve">W aplikacji Eternal teraz</t>
  </si>
  <si>
    <t xml:space="preserve">Powiązane W-</t>
  </si>
  <si>
    <t xml:space="preserve">Źródła</t>
  </si>
  <si>
    <t xml:space="preserve">K-01</t>
  </si>
  <si>
    <t xml:space="preserve">Klient</t>
  </si>
  <si>
    <t xml:space="preserve">Aplikacja mobilna (pacjent)</t>
  </si>
  <si>
    <t xml:space="preserve">React Native + Expo (MIT)</t>
  </si>
  <si>
    <t xml:space="preserve">Expo EAS: Free / Starter 19 / Production 199 USD/mies.</t>
  </si>
  <si>
    <t xml:space="preserve">PWA (gotowa)</t>
  </si>
  <si>
    <t xml:space="preserve">React Native/Expo — warunek HealthKit, Health Connect, biometrii i push</t>
  </si>
  <si>
    <t xml:space="preserve">Niski; alternatywy: Flutter, natywne Swift/Kotlin</t>
  </si>
  <si>
    <t xml:space="preserve">PWA gotowa</t>
  </si>
  <si>
    <t xml:space="preserve">W-14, W-19, W-90</t>
  </si>
  <si>
    <t xml:space="preserve">Z55, Z56</t>
  </si>
  <si>
    <t xml:space="preserve">K-02</t>
  </si>
  <si>
    <t xml:space="preserve">Aplikacja web (pacjent + panel placówki)</t>
  </si>
  <si>
    <t xml:space="preserve">React 19 + Vite (MIT)</t>
  </si>
  <si>
    <t xml:space="preserve">Gotowa</t>
  </si>
  <si>
    <t xml:space="preserve">Gotowa — rozbudowa</t>
  </si>
  <si>
    <t xml:space="preserve">Niski</t>
  </si>
  <si>
    <t xml:space="preserve">K-03</t>
  </si>
  <si>
    <t xml:space="preserve">Serwer</t>
  </si>
  <si>
    <t xml:space="preserve">API i logika</t>
  </si>
  <si>
    <t xml:space="preserve">Node.js 22 + Fastify 5 + TypeScript (MIT)</t>
  </si>
  <si>
    <t xml:space="preserve">Gotowe</t>
  </si>
  <si>
    <t xml:space="preserve">Gotowe — rozbudowa</t>
  </si>
  <si>
    <t xml:space="preserve">K-04</t>
  </si>
  <si>
    <t xml:space="preserve">Dane</t>
  </si>
  <si>
    <t xml:space="preserve">Baza danych</t>
  </si>
  <si>
    <t xml:space="preserve">PostgreSQL (licencja PostgreSQL); SQLite w Demo</t>
  </si>
  <si>
    <t xml:space="preserve">Zarządzany PostgreSQL (AWS RDS UE / OVHcloud)</t>
  </si>
  <si>
    <t xml:space="preserve">SQLite (gotowe)</t>
  </si>
  <si>
    <t xml:space="preserve">Zarządzany PostgreSQL w UE</t>
  </si>
  <si>
    <t xml:space="preserve">+ replika i kopia u drugiego dostawcy</t>
  </si>
  <si>
    <t xml:space="preserve">SQLite (node:sqlite)</t>
  </si>
  <si>
    <t xml:space="preserve">W-07, W-08</t>
  </si>
  <si>
    <t xml:space="preserve">K-05</t>
  </si>
  <si>
    <t xml:space="preserve">Magazyn plików</t>
  </si>
  <si>
    <t xml:space="preserve">Interfejs S3</t>
  </si>
  <si>
    <t xml:space="preserve">AWS S3 UE z Object Lock; OVHcloud / Scaleway Object Storage</t>
  </si>
  <si>
    <t xml:space="preserve">Dysk serwera</t>
  </si>
  <si>
    <t xml:space="preserve">S3 w UE z szyfrowaniem i Object Lock dla dziennika</t>
  </si>
  <si>
    <t xml:space="preserve">+ kopia u drugiego dostawcy</t>
  </si>
  <si>
    <t xml:space="preserve">Niski (standard S3)</t>
  </si>
  <si>
    <t xml:space="preserve">Pliki w bazie (binarne FHIR)</t>
  </si>
  <si>
    <t xml:space="preserve">W-05, W-08</t>
  </si>
  <si>
    <t xml:space="preserve">K-06</t>
  </si>
  <si>
    <t xml:space="preserve">Kolejka zadań i przepływy</t>
  </si>
  <si>
    <t xml:space="preserve">Kolejka outbox w PostgreSQL; pg-boss (MIT); Temporal (MIT)</t>
  </si>
  <si>
    <t xml:space="preserve">Temporal Cloud</t>
  </si>
  <si>
    <t xml:space="preserve">Outbox (gotowe)</t>
  </si>
  <si>
    <t xml:space="preserve">Outbox + pg-boss</t>
  </si>
  <si>
    <t xml:space="preserve">Temporal dla długich procesów (Scribe, RPM)</t>
  </si>
  <si>
    <t xml:space="preserve">Outbox gotowy</t>
  </si>
  <si>
    <t xml:space="preserve">W-19, W-24</t>
  </si>
  <si>
    <t xml:space="preserve">K-07</t>
  </si>
  <si>
    <t xml:space="preserve">Pamięć podręczna</t>
  </si>
  <si>
    <t xml:space="preserve">Valkey (BSD) — zamiast Redis (zmiany licencji 2024/2025)</t>
  </si>
  <si>
    <t xml:space="preserve">Zarządzany Valkey/Redis</t>
  </si>
  <si>
    <t xml:space="preserve">Valkey (Medplum wymaga Redis-zgodnego)</t>
  </si>
  <si>
    <t xml:space="preserve">Redis — zmiany licencji; Valkey bezpieczny</t>
  </si>
  <si>
    <t xml:space="preserve">Brak (cache w SQLite)</t>
  </si>
  <si>
    <t xml:space="preserve">wiedza ogólna</t>
  </si>
  <si>
    <t xml:space="preserve">K-08</t>
  </si>
  <si>
    <t xml:space="preserve">AI</t>
  </si>
  <si>
    <t xml:space="preserve">Brama modeli</t>
  </si>
  <si>
    <t xml:space="preserve">LiteLLM (MIT)</t>
  </si>
  <si>
    <t xml:space="preserve">Bezpośrednio Bedrock</t>
  </si>
  <si>
    <t xml:space="preserve">LiteLLM: Bedrock UE + Mistral</t>
  </si>
  <si>
    <t xml:space="preserve">+ Bielik u siebie</t>
  </si>
  <si>
    <t xml:space="preserve">Routing per zadanie</t>
  </si>
  <si>
    <t xml:space="preserve">W-11, W-38</t>
  </si>
  <si>
    <t xml:space="preserve">Z05, Z31</t>
  </si>
  <si>
    <t xml:space="preserve">K-09</t>
  </si>
  <si>
    <t xml:space="preserve">Eksploatacja</t>
  </si>
  <si>
    <t xml:space="preserve">Obserwowalność i błędy</t>
  </si>
  <si>
    <t xml:space="preserve">OpenTelemetry; Grafana/Loki/Tempo (AGPL); GlitchTip (MIT)</t>
  </si>
  <si>
    <t xml:space="preserve">Grafana Cloud (UE); Sentry (licencja FSL)</t>
  </si>
  <si>
    <t xml:space="preserve">Logi serwera</t>
  </si>
  <si>
    <t xml:space="preserve">OpenTelemetry + Grafana u nas; maskowanie danych o zdrowiu w logach</t>
  </si>
  <si>
    <t xml:space="preserve">Jak MVP + alerty dyżurne</t>
  </si>
  <si>
    <t xml:space="preserve">AGPL — tylko użycie, bez modyfikacji</t>
  </si>
  <si>
    <t xml:space="preserve">Logi Fastify</t>
  </si>
  <si>
    <t xml:space="preserve">K-10</t>
  </si>
  <si>
    <t xml:space="preserve">Produkt</t>
  </si>
  <si>
    <t xml:space="preserve">Analityka produktu</t>
  </si>
  <si>
    <t xml:space="preserve">PostHog (MIT; chmura UE); Matomo (GPL)</t>
  </si>
  <si>
    <t xml:space="preserve">PostHog Cloud UE</t>
  </si>
  <si>
    <t xml:space="preserve">Matomo albo PostHog bez danych o zdrowiu, bez reklam i bez profili marketingowych</t>
  </si>
  <si>
    <t xml:space="preserve">Zasady stałe: brak reklam i sprzedaży danych</t>
  </si>
  <si>
    <t xml:space="preserve">K-11</t>
  </si>
  <si>
    <t xml:space="preserve">CI/CD</t>
  </si>
  <si>
    <t xml:space="preserve">GitHub Actions (akcje przypięte do skrótu commita)</t>
  </si>
  <si>
    <t xml:space="preserve">Expo EAS Build</t>
  </si>
  <si>
    <t xml:space="preserve">Testy lokalne</t>
  </si>
  <si>
    <t xml:space="preserve">GitHub Actions: testy, typy, E2E, axe, SBOM, skany</t>
  </si>
  <si>
    <t xml:space="preserve">Łańcuch dostaw akcji (incydent Trivy 03.2026)</t>
  </si>
  <si>
    <t xml:space="preserve">Testy: 60 jednostkowych/API + 2 E2E</t>
  </si>
  <si>
    <t xml:space="preserve">Z12</t>
  </si>
  <si>
    <t xml:space="preserve">K-12</t>
  </si>
  <si>
    <t xml:space="preserve">Infrastruktura jako kod</t>
  </si>
  <si>
    <t xml:space="preserve">OpenTofu (MPL 2.0)</t>
  </si>
  <si>
    <t xml:space="preserve">Terraform (licencja BSL)</t>
  </si>
  <si>
    <t xml:space="preserve">docker-compose (gotowe)</t>
  </si>
  <si>
    <t xml:space="preserve">OpenTofu</t>
  </si>
  <si>
    <t xml:space="preserve">Terraform BSL — wybieramy OpenTofu</t>
  </si>
  <si>
    <t xml:space="preserve">Dockerfile + compose</t>
  </si>
  <si>
    <t xml:space="preserve">K-13</t>
  </si>
  <si>
    <t xml:space="preserve">Bezpieczeństwo</t>
  </si>
  <si>
    <t xml:space="preserve">Klucze i sekrety</t>
  </si>
  <si>
    <t xml:space="preserve">OpenBao (MPL 2.0); SOPS</t>
  </si>
  <si>
    <t xml:space="preserve">AWS KMS + Secrets Manager</t>
  </si>
  <si>
    <t xml:space="preserve">AWS KMS + Secrets Manager (klucze własne)</t>
  </si>
  <si>
    <t xml:space="preserve">OpenBao przy wielu chmurach</t>
  </si>
  <si>
    <t xml:space="preserve">.env</t>
  </si>
  <si>
    <t xml:space="preserve">W-08, W-36</t>
  </si>
  <si>
    <t xml:space="preserve">K-14</t>
  </si>
  <si>
    <t xml:space="preserve">Kopie zapasowe</t>
  </si>
  <si>
    <t xml:space="preserve">pgBackRest (MIT); restic (BSD)</t>
  </si>
  <si>
    <t xml:space="preserve">Kopie zarządzane dostawcy</t>
  </si>
  <si>
    <t xml:space="preserve">Kopia CLI (gotowe)</t>
  </si>
  <si>
    <t xml:space="preserve">Kopie zarządzane + kopia szyfrowana u drugiego dostawcy w UE; test odtwarzania co kwartał</t>
  </si>
  <si>
    <t xml:space="preserve">Polecenie backup w CLI</t>
  </si>
  <si>
    <t xml:space="preserve">K-15</t>
  </si>
  <si>
    <t xml:space="preserve">Tryb offline (mobile)</t>
  </si>
  <si>
    <t xml:space="preserve">SQLite w aplikacji + kolejka synchronizacji; WatermelonDB (MIT)</t>
  </si>
  <si>
    <t xml:space="preserve">PowerSync</t>
  </si>
  <si>
    <t xml:space="preserve">Lokalna pamięć podręczna tylko do odczytu + kolejka wpisów</t>
  </si>
  <si>
    <t xml:space="preserve">Pełna synchronizacja konfliktów</t>
  </si>
  <si>
    <t xml:space="preserve">Service worker (PWA)</t>
  </si>
  <si>
    <t xml:space="preserve">K-16</t>
  </si>
  <si>
    <t xml:space="preserve">Płatności i subskrypcje (od MLP)</t>
  </si>
  <si>
    <t xml:space="preserve">PayU / Przelewy24 (PL); Stripe; RevenueCat (zakupy w aplikacji)</t>
  </si>
  <si>
    <t xml:space="preserve">Brak — płatności B2B fakturą</t>
  </si>
  <si>
    <t xml:space="preserve">Subskrypcje B2C: RevenueCat (sklepy) + PayU/Przelewy24 (web)</t>
  </si>
  <si>
    <t xml:space="preserve">Zasady sklepów; zakaz cen zależnych od danych o zdrowiu (zasada stała)</t>
  </si>
  <si>
    <t xml:space="preserve">K-17</t>
  </si>
  <si>
    <t xml:space="preserve">Wyszukiwanie i wektory</t>
  </si>
  <si>
    <t xml:space="preserve">pgvector (PostgreSQL); OpenSearch (Apache 2.0)</t>
  </si>
  <si>
    <t xml:space="preserve">pgvector w tej samej bazie (asystent wiedzy)</t>
  </si>
  <si>
    <t xml:space="preserve">OpenSearch przy dużej skali</t>
  </si>
  <si>
    <t xml:space="preserve">W3 — KAŻDA FUNKCJA MVP Z PLIKU 11.1 → WYBRANE ROZWIĄZANIE</t>
  </si>
  <si>
    <t xml:space="preserve">251 pozycji: funkcje z „Wydanie produktu” = MVP (Z1 kol. 15). Kolumny A–K z pliku 11.1; L = przypisanie; M–Q i S liczą się formułami z W1 (zmiana w W1 aktualizuje W3).</t>
  </si>
  <si>
    <t xml:space="preserve">Łączenie z plikiem 11.1: kolumna A (Kod) = Z1_KARTY_FUNKCJI_648, kolumna A. Kolumna R — uwagi dotyczące tylko tej funkcji.</t>
  </si>
  <si>
    <t xml:space="preserve">Kod</t>
  </si>
  <si>
    <t xml:space="preserve">Funkcja (nazwa z rejestru)</t>
  </si>
  <si>
    <t xml:space="preserve">Projekt</t>
  </si>
  <si>
    <t xml:space="preserve">Wydanie produktu (plik)</t>
  </si>
  <si>
    <t xml:space="preserve">Etap realny (plik)</t>
  </si>
  <si>
    <t xml:space="preserve">Nr funkcji zbiorczej</t>
  </si>
  <si>
    <t xml:space="preserve">Funkcja zbiorcza</t>
  </si>
  <si>
    <t xml:space="preserve">Rodzaj pozycji</t>
  </si>
  <si>
    <t xml:space="preserve">Zdolność w pliku 11.1</t>
  </si>
  <si>
    <t xml:space="preserve">Zdolność / moduł (W1)</t>
  </si>
  <si>
    <t xml:space="preserve">Model budowy (W1)</t>
  </si>
  <si>
    <t xml:space="preserve">★ MVP (W1)</t>
  </si>
  <si>
    <t xml:space="preserve">★ MLP (W1)</t>
  </si>
  <si>
    <t xml:space="preserve">Zmiana względem pliku (W1)</t>
  </si>
  <si>
    <t xml:space="preserve">Uwaga do tej funkcji</t>
  </si>
  <si>
    <t xml:space="preserve">Stan w aplikacji Eternal (W1)</t>
  </si>
  <si>
    <t xml:space="preserve">A23.1</t>
  </si>
  <si>
    <t xml:space="preserve">Zgodność ze standardem dostępności</t>
  </si>
  <si>
    <t xml:space="preserve">P1 — Eternal App</t>
  </si>
  <si>
    <t xml:space="preserve">Eternal App Core</t>
  </si>
  <si>
    <t xml:space="preserve">MVP produktu (2027)</t>
  </si>
  <si>
    <t xml:space="preserve">MVP</t>
  </si>
  <si>
    <t xml:space="preserve">Dostępność, język i region</t>
  </si>
  <si>
    <t xml:space="preserve">funkcja</t>
  </si>
  <si>
    <t xml:space="preserve">axe (Deque) i czytniki ekranu systemu</t>
  </si>
  <si>
    <t xml:space="preserve">A23.2</t>
  </si>
  <si>
    <t xml:space="preserve">Tryb prostego języka</t>
  </si>
  <si>
    <t xml:space="preserve">A23.3</t>
  </si>
  <si>
    <t xml:space="preserve">Duży kontrast i skalowanie</t>
  </si>
  <si>
    <t xml:space="preserve">Funkcję daje ustawienia systemu telefonu — nie kupujemy jej</t>
  </si>
  <si>
    <t xml:space="preserve">Ustawienia systemu telefonu</t>
  </si>
  <si>
    <t xml:space="preserve">A23.4</t>
  </si>
  <si>
    <t xml:space="preserve">Obsługa czytnikiem ekranu i głosem</t>
  </si>
  <si>
    <t xml:space="preserve">Funkcję daje czytniki ekranu systemu telefonu — nie kupujemy jej</t>
  </si>
  <si>
    <t xml:space="preserve">Czytniki ekranu systemu telefonu</t>
  </si>
  <si>
    <t xml:space="preserve">A3.1</t>
  </si>
  <si>
    <t xml:space="preserve">Dashboard główny</t>
  </si>
  <si>
    <t xml:space="preserve">Pulpit, wykresy i oś czasu</t>
  </si>
  <si>
    <t xml:space="preserve">ECharts i Victory Native</t>
  </si>
  <si>
    <t xml:space="preserve">A3.2</t>
  </si>
  <si>
    <t xml:space="preserve">Wykresy trendów</t>
  </si>
  <si>
    <t xml:space="preserve">A3.4</t>
  </si>
  <si>
    <t xml:space="preserve">System powiadomień</t>
  </si>
  <si>
    <t xml:space="preserve">Powiadomienia, przypomnienia i eskalacja</t>
  </si>
  <si>
    <t xml:space="preserve">własna kolejka na bezpłatnych usługach systemowych Apple (APNs) i Google (FCM) + e-mail przez Amazon SES + bramka SMS</t>
  </si>
  <si>
    <t xml:space="preserve">A2.1</t>
  </si>
  <si>
    <t xml:space="preserve">OCR wyników laboratoryjnych</t>
  </si>
  <si>
    <t xml:space="preserve">Odczyt dokumentów i wyników (zdjęcie, PDF, parser)</t>
  </si>
  <si>
    <t xml:space="preserve">Usługa odczytu dokumentów (tekst i tabele ze zdjęcia albo PDF)</t>
  </si>
  <si>
    <t xml:space="preserve">Google Document AI</t>
  </si>
  <si>
    <t xml:space="preserve">Najpierw warstwa tekstowa PDF (0 zł), skany → Mistral OCR 4.</t>
  </si>
  <si>
    <t xml:space="preserve">A2.2</t>
  </si>
  <si>
    <t xml:space="preserve">Parsowanie do FHIR Observation</t>
  </si>
  <si>
    <t xml:space="preserve">Model językowy przez interfejs (silnik zdań, streszczeń i porządkowania tekstu)</t>
  </si>
  <si>
    <t xml:space="preserve">Claude (Anthropic)</t>
  </si>
  <si>
    <t xml:space="preserve">Porządkowanie pól przez bramę modeli (Claude/Bedrock UE) + walidacja kodów LOINC.</t>
  </si>
  <si>
    <t xml:space="preserve">A2.3</t>
  </si>
  <si>
    <t xml:space="preserve">Walidacja i korekta OCR</t>
  </si>
  <si>
    <t xml:space="preserve">A2.4</t>
  </si>
  <si>
    <t xml:space="preserve">Tłumaczenie wyników na język naturalny</t>
  </si>
  <si>
    <t xml:space="preserve">Objaśnianie wyników prostym językiem</t>
  </si>
  <si>
    <t xml:space="preserve">Labplus (LabTest Checker)</t>
  </si>
  <si>
    <t xml:space="preserve">Objaśnienie wyniku konkretnej osoby = wyrób medyczny → tylko Labplus (CE); własny słownik ogólny.</t>
  </si>
  <si>
    <t xml:space="preserve">A2.5</t>
  </si>
  <si>
    <t xml:space="preserve">Historia badań z wersjonowaniem</t>
  </si>
  <si>
    <t xml:space="preserve">Rekord zdrowia i historia (portfel danych)</t>
  </si>
  <si>
    <t xml:space="preserve">Medplum</t>
  </si>
  <si>
    <t xml:space="preserve">A2.6</t>
  </si>
  <si>
    <t xml:space="preserve">Eksport CSV/PDF/FHIR Bundle</t>
  </si>
  <si>
    <t xml:space="preserve">A2.7</t>
  </si>
  <si>
    <t xml:space="preserve">OCR recept i zaświadczeń</t>
  </si>
  <si>
    <t xml:space="preserve">Jak A2.1.</t>
  </si>
  <si>
    <t xml:space="preserve">A2.8</t>
  </si>
  <si>
    <t xml:space="preserve">Integracja z P1</t>
  </si>
  <si>
    <t xml:space="preserve">Brama do e-zdrowia (e-recepta, e-skierowanie, P1)</t>
  </si>
  <si>
    <t xml:space="preserve">MyDr</t>
  </si>
  <si>
    <t xml:space="preserve">Dokumenty z P1 przez system gabinetowy placówki albo pobrane przez pacjenta z IKP; Eternal nie łączy się z P1 w MVP.</t>
  </si>
  <si>
    <t xml:space="preserve">F3.1</t>
  </si>
  <si>
    <t xml:space="preserve">Skan dokumentu z aparatu (CamScanner-like UX)</t>
  </si>
  <si>
    <t xml:space="preserve">Funkcję daje system telefonu (skaner dokumentów) — nie kupujemy jej</t>
  </si>
  <si>
    <t xml:space="preserve">System telefonu (skaner dokumentów)</t>
  </si>
  <si>
    <t xml:space="preserve">F3.2</t>
  </si>
  <si>
    <t xml:space="preserve">PDF upload z Google Drive / Files</t>
  </si>
  <si>
    <t xml:space="preserve">F3.3</t>
  </si>
  <si>
    <t xml:space="preserve">OCR z Tesseract 5 + polish trained model</t>
  </si>
  <si>
    <t xml:space="preserve">powtórzenie funkcji A2.1</t>
  </si>
  <si>
    <t xml:space="preserve">Tesseract z pliku zastąpiony: warstwa tekstowa PDF → Mistral OCR 4; Tesseract/PaddleOCR jako zapas lokalny.</t>
  </si>
  <si>
    <t xml:space="preserve">F3.4</t>
  </si>
  <si>
    <t xml:space="preserve">Parser polskich wyników lab (Synevo, Diagnostyka, ALAB)</t>
  </si>
  <si>
    <t xml:space="preserve">Gotowy interfejs „wynik laboratoryjny → dane”</t>
  </si>
  <si>
    <t xml:space="preserve">nie bierzemy</t>
  </si>
  <si>
    <t xml:space="preserve">Parser własny — rdzeń przewagi (3–5 sieci laboratoriów na MVP).</t>
  </si>
  <si>
    <t xml:space="preserve">F3.5</t>
  </si>
  <si>
    <t xml:space="preserve">Mapowanie do LOINC code (standard medyczny)</t>
  </si>
  <si>
    <t xml:space="preserve">LOINC, UCUM, ICD-10</t>
  </si>
  <si>
    <t xml:space="preserve">F3.6</t>
  </si>
  <si>
    <t xml:space="preserve">Alert gdy parametr poza norma</t>
  </si>
  <si>
    <t xml:space="preserve">Tylko oznaczenie zakresu referencyjnego podanego przez laboratorium; własne alerty = funkcja wyrobu (MDR) → partner z CE.</t>
  </si>
  <si>
    <t xml:space="preserve">F3.8</t>
  </si>
  <si>
    <t xml:space="preserve">Recepta z P1 (NFZ Online API)</t>
  </si>
  <si>
    <t xml:space="preserve">MVP-2</t>
  </si>
  <si>
    <t xml:space="preserve">powtórzenie funkcji A5.6</t>
  </si>
  <si>
    <t xml:space="preserve">Recepty wystawia system gabinetowy placówki; Eternal pokazuje status/kod.</t>
  </si>
  <si>
    <t xml:space="preserve">F3.9</t>
  </si>
  <si>
    <t xml:space="preserve">Karta wypisowa szpitalna</t>
  </si>
  <si>
    <t xml:space="preserve">Streszczenie karty wypisowej — tylko fakty z dokumentu, oznaczone jako AI.</t>
  </si>
  <si>
    <t xml:space="preserve">F3.19</t>
  </si>
  <si>
    <t xml:space="preserve">Audio recording wizyt + transkrypcja (Whisper) + auto-SBAR</t>
  </si>
  <si>
    <t xml:space="preserve">MVP-1</t>
  </si>
  <si>
    <t xml:space="preserve">Scribe — nagranie, transkrypcja, notatka</t>
  </si>
  <si>
    <t xml:space="preserve">Corti</t>
  </si>
  <si>
    <t xml:space="preserve">Corti nie obsługuje polskiego → przebieg własny: ElevenLabs Scribe (UE) + Claude (Bedrock UE) + zatwierdzenie lekarza.</t>
  </si>
  <si>
    <t xml:space="preserve">F1.1</t>
  </si>
  <si>
    <t xml:space="preserve">Rejestracja przez email/Apple/Google (OAuth 2.0)</t>
  </si>
  <si>
    <t xml:space="preserve">Konto, logowanie i tożsamość</t>
  </si>
  <si>
    <t xml:space="preserve">Amazon Cognito</t>
  </si>
  <si>
    <t xml:space="preserve">Keycloak: e-mail, Apple, Google (OIDC).</t>
  </si>
  <si>
    <t xml:space="preserve">F1.2</t>
  </si>
  <si>
    <t xml:space="preserve">Logowanie biometryczne (TouchID, FaceID, Fingerprint)</t>
  </si>
  <si>
    <t xml:space="preserve">Funkcję daje system telefonu (Apple, Google) — nie kupujemy jej</t>
  </si>
  <si>
    <t xml:space="preserve">System telefonu (Apple, Google)</t>
  </si>
  <si>
    <t xml:space="preserve">F1.3</t>
  </si>
  <si>
    <t xml:space="preserve">Zgody RODO (checkbox + timestamp + log audytowy)</t>
  </si>
  <si>
    <t xml:space="preserve">Zgody, udostępnianie i dziennik dostępu</t>
  </si>
  <si>
    <t xml:space="preserve">nie bierzemy jako rdzenia</t>
  </si>
  <si>
    <t xml:space="preserve">Zgody w rekordzie (FHIR Consent), dziennik w W-05.</t>
  </si>
  <si>
    <t xml:space="preserve">F1.4</t>
  </si>
  <si>
    <t xml:space="preserve">Recovery codes (10 jednorazowych kodow, AES-256 encrypted)</t>
  </si>
  <si>
    <t xml:space="preserve">Keycloak: kody odzyskiwania.</t>
  </si>
  <si>
    <t xml:space="preserve">F1.5</t>
  </si>
  <si>
    <t xml:space="preserve">PIN 6-cyfrowy fallback</t>
  </si>
  <si>
    <t xml:space="preserve">F1.6</t>
  </si>
  <si>
    <t xml:space="preserve">Profil podstawowy (imie, wiek, plec, waga, wzrost)</t>
  </si>
  <si>
    <t xml:space="preserve">F1.7</t>
  </si>
  <si>
    <t xml:space="preserve">MFA TOTP (Authy, Google Authenticator, 1Password)</t>
  </si>
  <si>
    <t xml:space="preserve">TOTP gotowe w aplikacji; docelowo Keycloak.</t>
  </si>
  <si>
    <t xml:space="preserve">F1.8</t>
  </si>
  <si>
    <t xml:space="preserve">Weryfikacja SMS przez Twilio</t>
  </si>
  <si>
    <t xml:space="preserve">SMSAPI.pl</t>
  </si>
  <si>
    <t xml:space="preserve">SMS przez SMSAPI.pl (gotowe w aplikacji), nie Twilio.</t>
  </si>
  <si>
    <t xml:space="preserve">F1.9</t>
  </si>
  <si>
    <t xml:space="preserve">Magic link email login (passwordless)</t>
  </si>
  <si>
    <t xml:space="preserve">Keycloak: link logowania e-mail.</t>
  </si>
  <si>
    <t xml:space="preserve">F1.10</t>
  </si>
  <si>
    <t xml:space="preserve">YubiKey hardware token support (WebAuthn/FIDO2)</t>
  </si>
  <si>
    <t xml:space="preserve">Klucze dostępu (WebAuthn/FIDO2) w Keycloak.</t>
  </si>
  <si>
    <t xml:space="preserve">F1.13</t>
  </si>
  <si>
    <t xml:space="preserve">Session management + device tracking (max 5 devices)</t>
  </si>
  <si>
    <t xml:space="preserve">Keycloak: sesje i urządzenia; limit 5 urządzeń w naszej warstwie.</t>
  </si>
  <si>
    <t xml:space="preserve">F1.18</t>
  </si>
  <si>
    <t xml:space="preserve">Hardware Security Module (Apple Secure Enclave, Android KeyStore)</t>
  </si>
  <si>
    <t xml:space="preserve">Funkcję daje system telefonu i usługa kluczy w chmurze — nie kupujemy jej</t>
  </si>
  <si>
    <t xml:space="preserve">System telefonu i usługa kluczy w chmurze</t>
  </si>
  <si>
    <t xml:space="preserve">A14.1</t>
  </si>
  <si>
    <t xml:space="preserve">Eskalacja (rodzina, lekarz, 112)</t>
  </si>
  <si>
    <t xml:space="preserve">SOS, ratunek i bezpieczeństwo</t>
  </si>
  <si>
    <t xml:space="preserve">Comarch</t>
  </si>
  <si>
    <t xml:space="preserve">Eskalacja do bliskich w aplikacji; 24/7 tylko przez partnera teleopieki.</t>
  </si>
  <si>
    <t xml:space="preserve">A14.2</t>
  </si>
  <si>
    <t xml:space="preserve">Inteligentne przypomnienia</t>
  </si>
  <si>
    <t xml:space="preserve">A4.1</t>
  </si>
  <si>
    <t xml:space="preserve">Raport tygodniowy PDF</t>
  </si>
  <si>
    <t xml:space="preserve">Raporty, eksport i podsumowania dla lekarza</t>
  </si>
  <si>
    <t xml:space="preserve">szablony wersjonowane + generator na serwerze (Playwright z Chromium)</t>
  </si>
  <si>
    <t xml:space="preserve">A4.2</t>
  </si>
  <si>
    <t xml:space="preserve">Raport miesięczny/kwartalny</t>
  </si>
  <si>
    <t xml:space="preserve">A4.3</t>
  </si>
  <si>
    <t xml:space="preserve">Raport SBAR dla lekarza</t>
  </si>
  <si>
    <t xml:space="preserve">powtórzenie funkcji A5.2</t>
  </si>
  <si>
    <t xml:space="preserve">A4.4</t>
  </si>
  <si>
    <t xml:space="preserve">Raport FHIR Bundle</t>
  </si>
  <si>
    <t xml:space="preserve">A1.3</t>
  </si>
  <si>
    <t xml:space="preserve">Ręczne dodawanie danych</t>
  </si>
  <si>
    <t xml:space="preserve">Łączenie urządzeń i źródeł — Universal Sync</t>
  </si>
  <si>
    <t xml:space="preserve">A1.4</t>
  </si>
  <si>
    <t xml:space="preserve">Ręczna korekta wartości</t>
  </si>
  <si>
    <t xml:space="preserve">A1.5</t>
  </si>
  <si>
    <t xml:space="preserve">Normalizacja do FHIR R4</t>
  </si>
  <si>
    <t xml:space="preserve">A1.6</t>
  </si>
  <si>
    <t xml:space="preserve">Import CSV/JSON (backfill)</t>
  </si>
  <si>
    <t xml:space="preserve">A1.7</t>
  </si>
  <si>
    <t xml:space="preserve">Deduplikacja i anomalie</t>
  </si>
  <si>
    <t xml:space="preserve">A1.8</t>
  </si>
  <si>
    <t xml:space="preserve">Integracja Health Connect i Apple HealthKit</t>
  </si>
  <si>
    <t xml:space="preserve">Apple HealthKit (iOS) i Android Health Connect</t>
  </si>
  <si>
    <t xml:space="preserve">A1.9</t>
  </si>
  <si>
    <t xml:space="preserve">Synchro z</t>
  </si>
  <si>
    <t xml:space="preserve">powtórzenie funkcji F2.15</t>
  </si>
  <si>
    <t xml:space="preserve">Vitalera</t>
  </si>
  <si>
    <t xml:space="preserve">Vitalera przez nasz punkt odbioru pomiarów (gotowy); format do potwierdzenia w umowie.</t>
  </si>
  <si>
    <t xml:space="preserve">A1.10</t>
  </si>
  <si>
    <t xml:space="preserve">Przechowywanie danych</t>
  </si>
  <si>
    <t xml:space="preserve">AWS (region UE)</t>
  </si>
  <si>
    <t xml:space="preserve">AWS region UE — kontenery, PostgreSQL, interfejs S3 (przenośność do OVHcloud).</t>
  </si>
  <si>
    <t xml:space="preserve">A12.1</t>
  </si>
  <si>
    <t xml:space="preserve">Nagrywanie konsultacji</t>
  </si>
  <si>
    <t xml:space="preserve">Eternal Doctor / Clinic OS</t>
  </si>
  <si>
    <t xml:space="preserve">Funkcję daje przeglądarka i telefon (nagrywanie dźwięku) — nie kupujemy jej</t>
  </si>
  <si>
    <t xml:space="preserve">Przeglądarka i telefon (nagrywanie dźwięku)</t>
  </si>
  <si>
    <t xml:space="preserve">A12.2</t>
  </si>
  <si>
    <t xml:space="preserve">Transkrypcja nagrań</t>
  </si>
  <si>
    <t xml:space="preserve">OpenAI (gpt-4o-mini-transcribe 0,003 USD/min albo gpt-4o-transcribe 0,006 USD/min)</t>
  </si>
  <si>
    <t xml:space="preserve">OpenAI → ElevenLabs Scribe v2 (rezydencja UE, bez przechowywania); zapas Whisper na GPU w UE.</t>
  </si>
  <si>
    <t xml:space="preserve">A12.3</t>
  </si>
  <si>
    <t xml:space="preserve">Ankiety zdrowotne okresowe</t>
  </si>
  <si>
    <t xml:space="preserve">Wywiad i ankiety przed wizytą</t>
  </si>
  <si>
    <t xml:space="preserve">ankiety w standardzie FHIR (Questionnaire) z otwartym narzędziem do wyświetlania (LHC-Forms)</t>
  </si>
  <si>
    <t xml:space="preserve">A12.4</t>
  </si>
  <si>
    <t xml:space="preserve">Zdalny wywiad przez AI</t>
  </si>
  <si>
    <t xml:space="preserve">Infermedica</t>
  </si>
  <si>
    <t xml:space="preserve">Na MVP ankieta bez oceny; Infermedica (IIb) dla placówek, które kupią moduł.</t>
  </si>
  <si>
    <t xml:space="preserve">A12.5</t>
  </si>
  <si>
    <t xml:space="preserve">Automatyczne tworzenie dokumentacji</t>
  </si>
  <si>
    <t xml:space="preserve">Jak F3.19.</t>
  </si>
  <si>
    <t xml:space="preserve">A12.7</t>
  </si>
  <si>
    <t xml:space="preserve">Integracja z systemem gabinetowym</t>
  </si>
  <si>
    <t xml:space="preserve">Adaptery do systemów gabinetowych z API (Medfile, MyDr — jeśli udostępni, KS-SOMED, mMedica).</t>
  </si>
  <si>
    <t xml:space="preserve">F10.4</t>
  </si>
  <si>
    <t xml:space="preserve">Wyniki przez OCR (M3)</t>
  </si>
  <si>
    <t xml:space="preserve">Eternal Labs</t>
  </si>
  <si>
    <t xml:space="preserve">A20.1</t>
  </si>
  <si>
    <t xml:space="preserve">Rejestr przyjmowanych leków</t>
  </si>
  <si>
    <t xml:space="preserve">Eternal Medication</t>
  </si>
  <si>
    <t xml:space="preserve">Leki — lista, przypomnienia, bezpieczeństwo</t>
  </si>
  <si>
    <t xml:space="preserve">Rejestr Produktów Leczniczych (URPL)</t>
  </si>
  <si>
    <t xml:space="preserve">A20.3</t>
  </si>
  <si>
    <t xml:space="preserve">Alergie i przeciwwskazania</t>
  </si>
  <si>
    <t xml:space="preserve">F8.1</t>
  </si>
  <si>
    <t xml:space="preserve">CRISIS REDIRECT 116 123 (OBLIGATORYJNY, NIE-OVERRIDE)</t>
  </si>
  <si>
    <t xml:space="preserve">Eternal Mental Health</t>
  </si>
  <si>
    <t xml:space="preserve">Zdrowie psychiczne i ścieżka kryzysowa</t>
  </si>
  <si>
    <t xml:space="preserve">Własne, obowiązkowe, nieprzesłanialne; lista numerów utrzymywana redakcyjnie i weryfikowana co kwartał.</t>
  </si>
  <si>
    <t xml:space="preserve">F8.4</t>
  </si>
  <si>
    <t xml:space="preserve">Lista numerow kryzysowych (regionalne)</t>
  </si>
  <si>
    <t xml:space="preserve">Jak F8.1.</t>
  </si>
  <si>
    <t xml:space="preserve">A6.1</t>
  </si>
  <si>
    <t xml:space="preserve">Chatbot medyczny (RAG)</t>
  </si>
  <si>
    <t xml:space="preserve">Eternal Assistant / Doctor</t>
  </si>
  <si>
    <t xml:space="preserve">OpenEvidence</t>
  </si>
  <si>
    <t xml:space="preserve">OpenEvidence wycofany z UE 28.04.2026 → lekarz: DR.INFO (API, CE kl. I); pacjent: asystent wiedzy na treściach redakcyjnych, bez porad indywidualnych.</t>
  </si>
  <si>
    <t xml:space="preserve">A6.2</t>
  </si>
  <si>
    <t xml:space="preserve">Cytowanie źródeł</t>
  </si>
  <si>
    <t xml:space="preserve">Cytowania z kuratorowanych źródeł (Europe PMC, wytyczne PL).</t>
  </si>
  <si>
    <t xml:space="preserve">A6.4</t>
  </si>
  <si>
    <t xml:space="preserve">Tłumaczenie wyników</t>
  </si>
  <si>
    <t xml:space="preserve">powtórzenie funkcji A2.4</t>
  </si>
  <si>
    <t xml:space="preserve">Jak A2.4.</t>
  </si>
  <si>
    <t xml:space="preserve">A24.4</t>
  </si>
  <si>
    <t xml:space="preserve">Czasowe udostępnienie lekarzowi</t>
  </si>
  <si>
    <t xml:space="preserve">Eternal ID / Family / Travel</t>
  </si>
  <si>
    <t xml:space="preserve">Open Policy Agent (OPA)</t>
  </si>
  <si>
    <t xml:space="preserve">Na MVP Medplum AccessPolicy + Consent z okresem; OpenFGA od MLP.</t>
  </si>
  <si>
    <t xml:space="preserve">A17.18</t>
  </si>
  <si>
    <t xml:space="preserve">Kalendarz zdrowotny</t>
  </si>
  <si>
    <t xml:space="preserve">Eternal App / Personalization Composer</t>
  </si>
  <si>
    <t xml:space="preserve">F4.5</t>
  </si>
  <si>
    <t xml:space="preserve">CRISIS REDIRECT 116 123 (mental health) - NIEPRZESLANIALNE</t>
  </si>
  <si>
    <t xml:space="preserve">powtórzenie funkcji F8.1</t>
  </si>
  <si>
    <t xml:space="preserve">F6.2</t>
  </si>
  <si>
    <t xml:space="preserve">Auto-generated SBAR PDF (historia użytkownika)</t>
  </si>
  <si>
    <t xml:space="preserve">Eternal Care Access / Doctor</t>
  </si>
  <si>
    <t xml:space="preserve">F6.3</t>
  </si>
  <si>
    <t xml:space="preserve">Sciaganie wyników + zalaczanie</t>
  </si>
  <si>
    <t xml:space="preserve">Wideo, czat i wiadomości z lekarzem</t>
  </si>
  <si>
    <t xml:space="preserve">F6.5</t>
  </si>
  <si>
    <t xml:space="preserve">Video konsultacja (WebRTC, LiveKit)</t>
  </si>
  <si>
    <t xml:space="preserve">powtórzenie funkcji A5.1</t>
  </si>
  <si>
    <t xml:space="preserve">Jitsi albo LiveKit</t>
  </si>
  <si>
    <t xml:space="preserve">F6.6</t>
  </si>
  <si>
    <t xml:space="preserve">e-Recepta (P1 NFZ Online)</t>
  </si>
  <si>
    <t xml:space="preserve">Jak F3.8.</t>
  </si>
  <si>
    <t xml:space="preserve">F6.8</t>
  </si>
  <si>
    <t xml:space="preserve">Kalendarz lekarzy + slots</t>
  </si>
  <si>
    <t xml:space="preserve">Rezerwacje i dostęp do opieki</t>
  </si>
  <si>
    <t xml:space="preserve">ZnanyLekarz (Docplanner)</t>
  </si>
  <si>
    <t xml:space="preserve">Rdzeń: nasz silnik terminów (gotowy); ZnanyLekarz jako kanał przez Docplanner Integrations API.</t>
  </si>
  <si>
    <t xml:space="preserve">F6.9</t>
  </si>
  <si>
    <t xml:space="preserve">Reminders przed wizyta</t>
  </si>
  <si>
    <t xml:space="preserve">powtórzenie funkcji A5.8</t>
  </si>
  <si>
    <t xml:space="preserve">F6.10</t>
  </si>
  <si>
    <t xml:space="preserve">Recording konsultacji (z RODO consent)</t>
  </si>
  <si>
    <t xml:space="preserve">powtórzenie funkcji A12.1</t>
  </si>
  <si>
    <t xml:space="preserve">F6.14</t>
  </si>
  <si>
    <t xml:space="preserve">ePUAP integracja (e-skierowanie)</t>
  </si>
  <si>
    <t xml:space="preserve">powtórzenie funkcji A5.7</t>
  </si>
  <si>
    <t xml:space="preserve">Jak A5.7.</t>
  </si>
  <si>
    <t xml:space="preserve">A5.1</t>
  </si>
  <si>
    <t xml:space="preserve">Wideokonsultacja</t>
  </si>
  <si>
    <t xml:space="preserve">A5.2</t>
  </si>
  <si>
    <t xml:space="preserve">Medical Snapshot</t>
  </si>
  <si>
    <t xml:space="preserve">A5.3</t>
  </si>
  <si>
    <t xml:space="preserve">One-Click Rescue</t>
  </si>
  <si>
    <t xml:space="preserve">Przycisk 112 + powiadomienie bliskich; centrum 24/7 — partner.</t>
  </si>
  <si>
    <t xml:space="preserve">A5.4</t>
  </si>
  <si>
    <t xml:space="preserve">A5.5</t>
  </si>
  <si>
    <t xml:space="preserve">powtórzenie funkcji A12.4</t>
  </si>
  <si>
    <t xml:space="preserve">Jak A12.4.</t>
  </si>
  <si>
    <t xml:space="preserve">A5.6</t>
  </si>
  <si>
    <t xml:space="preserve">E-recepty</t>
  </si>
  <si>
    <t xml:space="preserve">A5.7</t>
  </si>
  <si>
    <t xml:space="preserve">E-skierowania</t>
  </si>
  <si>
    <t xml:space="preserve">E-skierowania wystawia system gabinetowy placówki.</t>
  </si>
  <si>
    <t xml:space="preserve">A5.8</t>
  </si>
  <si>
    <t xml:space="preserve">Przypomnienia o wizytach</t>
  </si>
  <si>
    <t xml:space="preserve">A5.10</t>
  </si>
  <si>
    <t xml:space="preserve">Przycisk SOS *(z S4.2)</t>
  </si>
  <si>
    <t xml:space="preserve">powtórzenie funkcji A5.3</t>
  </si>
  <si>
    <t xml:space="preserve">Jak A5.3.</t>
  </si>
  <si>
    <t xml:space="preserve">F2.1</t>
  </si>
  <si>
    <t xml:space="preserve">Apple HealthKit native integration (iOS)</t>
  </si>
  <si>
    <t xml:space="preserve">Eternal App Core / Eternal Station</t>
  </si>
  <si>
    <t xml:space="preserve">F2.2</t>
  </si>
  <si>
    <t xml:space="preserve">Google Fit Health Connect (Android)</t>
  </si>
  <si>
    <t xml:space="preserve">F2.4</t>
  </si>
  <si>
    <t xml:space="preserve">Mapowanie do FHIR R4 Observation resource</t>
  </si>
  <si>
    <t xml:space="preserve">powtórzenie funkcji A1.5</t>
  </si>
  <si>
    <t xml:space="preserve">F2.5</t>
  </si>
  <si>
    <t xml:space="preserve">Konflikt resolution (gdy dwa urządzenia mierza to samo)</t>
  </si>
  <si>
    <t xml:space="preserve">powtórzenie funkcji A1.7</t>
  </si>
  <si>
    <t xml:space="preserve">F2.6</t>
  </si>
  <si>
    <t xml:space="preserve">Auto-sync co 15 min (background)</t>
  </si>
  <si>
    <t xml:space="preserve">F2.7</t>
  </si>
  <si>
    <t xml:space="preserve">Smart scale BLE (Withings, Fitbit Aria, Eufy)</t>
  </si>
  <si>
    <t xml:space="preserve">Domowe urządzenia pomiarowe z certyfikatem i łącznością (ciśnieniomierz, waga, pulsoksymetr, termometr, EKG)</t>
  </si>
  <si>
    <t xml:space="preserve">Withings</t>
  </si>
  <si>
    <t xml:space="preserve">Profile Bluetooth GATT (gotowe) + Withings.</t>
  </si>
  <si>
    <t xml:space="preserve">F2.9</t>
  </si>
  <si>
    <t xml:space="preserve">Bluetooth pulsoksymetr (Wellue, Masimo MightySat)</t>
  </si>
  <si>
    <t xml:space="preserve">Jak F2.7.</t>
  </si>
  <si>
    <t xml:space="preserve">F2.14</t>
  </si>
  <si>
    <t xml:space="preserve">Adapter pattern - latwe dodawanie nowych urządzeń</t>
  </si>
  <si>
    <t xml:space="preserve">S1.2</t>
  </si>
  <si>
    <t xml:space="preserve">Pulsoksymetria (SpO2)</t>
  </si>
  <si>
    <t xml:space="preserve">P2 — Station</t>
  </si>
  <si>
    <t xml:space="preserve">Eternal Station Core</t>
  </si>
  <si>
    <t xml:space="preserve">Pomiary domowe, bramka i dozownik (Station)</t>
  </si>
  <si>
    <t xml:space="preserve">powtórzenie funkcji F2.9</t>
  </si>
  <si>
    <t xml:space="preserve">S1.3</t>
  </si>
  <si>
    <t xml:space="preserve">Ciśnienie krwi</t>
  </si>
  <si>
    <t xml:space="preserve">S1.4</t>
  </si>
  <si>
    <t xml:space="preserve">Temperatura ciała</t>
  </si>
  <si>
    <t xml:space="preserve">S1.5</t>
  </si>
  <si>
    <t xml:space="preserve">Glukoza</t>
  </si>
  <si>
    <t xml:space="preserve">Glukometru Withings nie znaleziono (ZAŁOŻENIE — potwierdzić) → glukometry Bluetooth (profil 0x1808, RACP) albo CGM.</t>
  </si>
  <si>
    <t xml:space="preserve">S2.2</t>
  </si>
  <si>
    <t xml:space="preserve">Skład ciała (BIA)</t>
  </si>
  <si>
    <t xml:space="preserve">Eternal Home Diagnostics</t>
  </si>
  <si>
    <t xml:space="preserve">powtórzenie funkcji F2.7</t>
  </si>
  <si>
    <t xml:space="preserve">S4.1</t>
  </si>
  <si>
    <t xml:space="preserve">Wideokonsultacja (LiveKit)</t>
  </si>
  <si>
    <t xml:space="preserve">Eternal RPM / Care Pod</t>
  </si>
  <si>
    <t xml:space="preserve">S4.2</t>
  </si>
  <si>
    <t xml:space="preserve">Przycisk SOS</t>
  </si>
  <si>
    <t xml:space="preserve">D1.1</t>
  </si>
  <si>
    <t xml:space="preserve">Baza danych pacjenta</t>
  </si>
  <si>
    <t xml:space="preserve">P4 — Digital Twin</t>
  </si>
  <si>
    <t xml:space="preserve">Eternal Digital Shadow</t>
  </si>
  <si>
    <t xml:space="preserve">D1.2</t>
  </si>
  <si>
    <t xml:space="preserve">Historia badań</t>
  </si>
  <si>
    <t xml:space="preserve">powtórzenie funkcji A2.5</t>
  </si>
  <si>
    <t xml:space="preserve">D1.3</t>
  </si>
  <si>
    <t xml:space="preserve">Edycja/korekta</t>
  </si>
  <si>
    <t xml:space="preserve">powtórzenie funkcji A1.4</t>
  </si>
  <si>
    <t xml:space="preserve">D1.4</t>
  </si>
  <si>
    <t xml:space="preserve">Eksport FHIR/CSV/PDF</t>
  </si>
  <si>
    <t xml:space="preserve">powtórzenie funkcji A2.6</t>
  </si>
  <si>
    <t xml:space="preserve">D1.5</t>
  </si>
  <si>
    <t xml:space="preserve">PostgreSQL z dziennikiem tylko do dopisywania + magazyn plików z blokadą zapisu</t>
  </si>
  <si>
    <t xml:space="preserve">D2.3</t>
  </si>
  <si>
    <t xml:space="preserve">Dashboard dla lekarza (SBAR + Twin)</t>
  </si>
  <si>
    <t xml:space="preserve">Predictive / Specialty Twin</t>
  </si>
  <si>
    <t xml:space="preserve">D5.3</t>
  </si>
  <si>
    <t xml:space="preserve">Generowanie danych syntetycznych</t>
  </si>
  <si>
    <t xml:space="preserve">Eternal Research Twin</t>
  </si>
  <si>
    <t xml:space="preserve">Badania i dane populacyjne</t>
  </si>
  <si>
    <t xml:space="preserve">Synthea — dane testowe i demonstracyjne.</t>
  </si>
  <si>
    <t xml:space="preserve">D4.7</t>
  </si>
  <si>
    <t xml:space="preserve">Oś czasu zdrowia</t>
  </si>
  <si>
    <t xml:space="preserve">Twin Extensions</t>
  </si>
  <si>
    <t xml:space="preserve">A15.1</t>
  </si>
  <si>
    <t xml:space="preserve">Nabór i zgłaszanie projektów</t>
  </si>
  <si>
    <t xml:space="preserve">P6 — Hub Innowatora</t>
  </si>
  <si>
    <t xml:space="preserve">Innovation Hub</t>
  </si>
  <si>
    <t xml:space="preserve">Hub Innowatora — nabór, ocena, granty, licencje</t>
  </si>
  <si>
    <t xml:space="preserve">HubSpot</t>
  </si>
  <si>
    <t xml:space="preserve">A15.2</t>
  </si>
  <si>
    <t xml:space="preserve">Ocena i selekcja (Rada Naukowa)</t>
  </si>
  <si>
    <t xml:space="preserve">A19.1</t>
  </si>
  <si>
    <t xml:space="preserve">Oznaczanie treści generowanej</t>
  </si>
  <si>
    <t xml:space="preserve">CORE — warstwa kontrolna</t>
  </si>
  <si>
    <t xml:space="preserve">Eternal Control Plane</t>
  </si>
  <si>
    <t xml:space="preserve">Nadzór nad AI (moduł zabezpieczający)</t>
  </si>
  <si>
    <t xml:space="preserve">Oznaczanie treści AI — dla systemów sprzed 2.08.2026 termin 2.12.2026 (AI Omnibus).</t>
  </si>
  <si>
    <t xml:space="preserve">A19.2</t>
  </si>
  <si>
    <t xml:space="preserve">Karta modelu widoczna dla użytkownika</t>
  </si>
  <si>
    <t xml:space="preserve">A19.6</t>
  </si>
  <si>
    <t xml:space="preserve">Rejestr zastosowań i logowanie zapytań</t>
  </si>
  <si>
    <t xml:space="preserve">MLflow</t>
  </si>
  <si>
    <t xml:space="preserve">Langfuse (logi zapytań, wersje poleceń, oceny); MLflow od własnych modeli.</t>
  </si>
  <si>
    <t xml:space="preserve">A18.1</t>
  </si>
  <si>
    <t xml:space="preserve">Instrukcja używania w aplikacji, wersjonowana</t>
  </si>
  <si>
    <t xml:space="preserve">Bezpieczeństwo produktu i nadzór (moduł zabezpieczający)</t>
  </si>
  <si>
    <t xml:space="preserve">A18.3</t>
  </si>
  <si>
    <t xml:space="preserve">Deklaracja przeznaczenia i ograniczeń</t>
  </si>
  <si>
    <t xml:space="preserve">Usługę wykonują ludzie partnera: kancelaria wyspecjalizowana w wyrobach medycznych</t>
  </si>
  <si>
    <t xml:space="preserve">Partner do wyboru w naborze</t>
  </si>
  <si>
    <t xml:space="preserve">A18.4</t>
  </si>
  <si>
    <t xml:space="preserve">Zgłaszanie incydentu przez użytkownika</t>
  </si>
  <si>
    <t xml:space="preserve">Zammad</t>
  </si>
  <si>
    <t xml:space="preserve">A18.7</t>
  </si>
  <si>
    <t xml:space="preserve">Kontrolowana dystrybucja aktualizacji</t>
  </si>
  <si>
    <t xml:space="preserve">Unleash</t>
  </si>
  <si>
    <t xml:space="preserve">A18.8</t>
  </si>
  <si>
    <t xml:space="preserve">Tryb degradacji przy awarii</t>
  </si>
  <si>
    <t xml:space="preserve">A18.9</t>
  </si>
  <si>
    <t xml:space="preserve">Wykaz składników oprogramowania i zgłaszanie podatności</t>
  </si>
  <si>
    <t xml:space="preserve">Trivy i Dependabot + sejf sekretów + kopie zapasowe</t>
  </si>
  <si>
    <t xml:space="preserve">Trivy skompromitowany 03.2026 → Grype/OSV-Scanner + Syft; akcje CI przypięte do skrótu.</t>
  </si>
  <si>
    <t xml:space="preserve">A18.10</t>
  </si>
  <si>
    <t xml:space="preserve">Log dostępu widoczny dla użytkownika</t>
  </si>
  <si>
    <t xml:space="preserve">A18.11</t>
  </si>
  <si>
    <t xml:space="preserve">Granularne wycofanie zgody</t>
  </si>
  <si>
    <t xml:space="preserve">Jak A24.4.</t>
  </si>
  <si>
    <t xml:space="preserve">A18.12</t>
  </si>
  <si>
    <t xml:space="preserve">Usunięcie danych z potwierdzeniem</t>
  </si>
  <si>
    <t xml:space="preserve">A11.3</t>
  </si>
  <si>
    <t xml:space="preserve">Eternal Country Layer</t>
  </si>
  <si>
    <t xml:space="preserve">DeepL</t>
  </si>
  <si>
    <t xml:space="preserve">Słownik w kodzie + DeepL do szkiców; przegląd człowieka.</t>
  </si>
  <si>
    <t xml:space="preserve">A11.4</t>
  </si>
  <si>
    <t xml:space="preserve">Standaryzacja jednostek</t>
  </si>
  <si>
    <t xml:space="preserve">F12.1</t>
  </si>
  <si>
    <t xml:space="preserve">Tracking z wearable (M2)</t>
  </si>
  <si>
    <t xml:space="preserve">Eternal Wellness Composer</t>
  </si>
  <si>
    <t xml:space="preserve">MVP produktu (2028)</t>
  </si>
  <si>
    <t xml:space="preserve">MLP</t>
  </si>
  <si>
    <t xml:space="preserve">Ruch i trening</t>
  </si>
  <si>
    <t xml:space="preserve">F12.2</t>
  </si>
  <si>
    <t xml:space="preserve">Strava integration (read)</t>
  </si>
  <si>
    <t xml:space="preserve">Strava</t>
  </si>
  <si>
    <t xml:space="preserve">Strava: zakaz użycia danych w AI (także jako kontekst/RAG), wyświetlanie tylko właścicielowi, od 06.2026 wymagana subskrypcja → treningi przez HealthKit/Health Connect; Polar/Suunto przez Open Wearables.</t>
  </si>
  <si>
    <t xml:space="preserve">F12.3</t>
  </si>
  <si>
    <t xml:space="preserve">Plan treningu na tydzien (LLM-generated)</t>
  </si>
  <si>
    <t xml:space="preserve">Funkcję daje producenci zegarków i aplikacje treningowe (plany w cenie urządzenia) — nie kupujemy jej</t>
  </si>
  <si>
    <t xml:space="preserve">Producenci zegarków i aplikacje treningowe (plany w cenie urządzenia)</t>
  </si>
  <si>
    <t xml:space="preserve">Plan ogólny (wellness), oznaczony jako treść AI; bez danych z API Strava.</t>
  </si>
  <si>
    <t xml:space="preserve">F12.4</t>
  </si>
  <si>
    <t xml:space="preserve">VO2max + recovery score</t>
  </si>
  <si>
    <t xml:space="preserve">F12.5</t>
  </si>
  <si>
    <t xml:space="preserve">Lista ćwiczeń z video (200+)</t>
  </si>
  <si>
    <t xml:space="preserve">Physitrack</t>
  </si>
  <si>
    <t xml:space="preserve">F12.6</t>
  </si>
  <si>
    <t xml:space="preserve">Video form check (Pose Estimation, MediaPipe)</t>
  </si>
  <si>
    <t xml:space="preserve">F12.7</t>
  </si>
  <si>
    <t xml:space="preserve">Group classes (live)</t>
  </si>
  <si>
    <t xml:space="preserve">MultiSport (Benefit Systems)</t>
  </si>
  <si>
    <t xml:space="preserve">F12.8</t>
  </si>
  <si>
    <t xml:space="preserve">Athletic performance (FTP, lactate threshold)</t>
  </si>
  <si>
    <t xml:space="preserve">Jak F12.2 — bez Strava; FTP/progi z danych zegarka przez system telefonu.</t>
  </si>
  <si>
    <t xml:space="preserve">F12.9</t>
  </si>
  <si>
    <t xml:space="preserve">Periodization (plany sezonowe)</t>
  </si>
  <si>
    <t xml:space="preserve">Jak F12.2 — plan sezonowy bez danych z API Strava.</t>
  </si>
  <si>
    <t xml:space="preserve">F12.10</t>
  </si>
  <si>
    <t xml:space="preserve">Race day planning (maraton, triathlon)</t>
  </si>
  <si>
    <t xml:space="preserve">F12.14</t>
  </si>
  <si>
    <t xml:space="preserve">Recovery automation (Eternal Station)</t>
  </si>
  <si>
    <t xml:space="preserve">F12.15</t>
  </si>
  <si>
    <t xml:space="preserve">Adaptive AI coach (uczy sie z każdym treningiem)</t>
  </si>
  <si>
    <t xml:space="preserve">Funkcję daje producenci zegarków i aplikacje trenerskie — nie kupujemy jej</t>
  </si>
  <si>
    <t xml:space="preserve">Producenci zegarków i aplikacje trenerskie</t>
  </si>
  <si>
    <t xml:space="preserve">Funkcja producentów zegarków; nasz „trener” tylko ogólny, oznaczony jako AI.</t>
  </si>
  <si>
    <t xml:space="preserve">F11.1</t>
  </si>
  <si>
    <t xml:space="preserve">Food log (manual)</t>
  </si>
  <si>
    <t xml:space="preserve">Żywienie</t>
  </si>
  <si>
    <t xml:space="preserve">Open Food Facts</t>
  </si>
  <si>
    <t xml:space="preserve">F11.2</t>
  </si>
  <si>
    <t xml:space="preserve">Photo food recognition (LLM-based)</t>
  </si>
  <si>
    <t xml:space="preserve">Rozpoznawanie posiłku ze zdjęcia</t>
  </si>
  <si>
    <t xml:space="preserve">model językowy z obrazem przez interfejs (płatne tokeny)</t>
  </si>
  <si>
    <t xml:space="preserve">Model z obrazem przez bramę modeli (UE); zdjęcia bez danych identyfikujących.</t>
  </si>
  <si>
    <t xml:space="preserve">F11.3</t>
  </si>
  <si>
    <t xml:space="preserve">Baza Open Food Facts (1M+ produktów)</t>
  </si>
  <si>
    <t xml:space="preserve">F11.4</t>
  </si>
  <si>
    <t xml:space="preserve">Kaloryczny tracker</t>
  </si>
  <si>
    <t xml:space="preserve">F11.5</t>
  </si>
  <si>
    <t xml:space="preserve">Macros (bialko/tluszcz/weglowodany)</t>
  </si>
  <si>
    <t xml:space="preserve">F11.6</t>
  </si>
  <si>
    <t xml:space="preserve">Sugestie generyczne ('jedz więcej warzyw')</t>
  </si>
  <si>
    <t xml:space="preserve">F11.8</t>
  </si>
  <si>
    <t xml:space="preserve">Plan jadlospisu na tydzien</t>
  </si>
  <si>
    <t xml:space="preserve">własna baza przepisów (redakcja) + model językowy</t>
  </si>
  <si>
    <t xml:space="preserve">F11.10</t>
  </si>
  <si>
    <t xml:space="preserve">Suplementacja indywidualna (Eternal Station)</t>
  </si>
  <si>
    <t xml:space="preserve">powtórzenie funkcji S3.1</t>
  </si>
  <si>
    <t xml:space="preserve">Evondos</t>
  </si>
  <si>
    <t xml:space="preserve">Dozownik saszetek z apteki (Evondos) — bez własnych mieszanek (zasada stała); suplementy — jak A7.3.</t>
  </si>
  <si>
    <t xml:space="preserve">F11.12</t>
  </si>
  <si>
    <t xml:space="preserve">Allergeny (z badań)</t>
  </si>
  <si>
    <t xml:space="preserve">F11.15</t>
  </si>
  <si>
    <t xml:space="preserve">AI Chef (przepisy z LLM)</t>
  </si>
  <si>
    <t xml:space="preserve">A7.1</t>
  </si>
  <si>
    <t xml:space="preserve">Plany treningowe (AI)</t>
  </si>
  <si>
    <t xml:space="preserve">powtórzenie funkcji F12.3</t>
  </si>
  <si>
    <t xml:space="preserve">Jak F12.3.</t>
  </si>
  <si>
    <t xml:space="preserve">A7.2</t>
  </si>
  <si>
    <t xml:space="preserve">Plany dietetyczne (AI)</t>
  </si>
  <si>
    <t xml:space="preserve">powtórzenie funkcji F11.8</t>
  </si>
  <si>
    <t xml:space="preserve">A7.3</t>
  </si>
  <si>
    <t xml:space="preserve">Plany suplementacyjne (AI)</t>
  </si>
  <si>
    <t xml:space="preserve">Plany, cele i profilaktyka</t>
  </si>
  <si>
    <t xml:space="preserve">Sundose</t>
  </si>
  <si>
    <t xml:space="preserve">KONFLIKT z zasadami stałymi (sterowanie zakupami, dane o zdrowiu do partnera handlowego) — nie w MVP; decyzja zarządu.</t>
  </si>
  <si>
    <t xml:space="preserve">A7.4</t>
  </si>
  <si>
    <t xml:space="preserve">Automatyczne sugestie suplementów</t>
  </si>
  <si>
    <t xml:space="preserve">powtórzenie funkcji A7.3</t>
  </si>
  <si>
    <t xml:space="preserve">Jak A7.3.</t>
  </si>
  <si>
    <t xml:space="preserve">A7.5</t>
  </si>
  <si>
    <t xml:space="preserve">Analiza składu posiłków</t>
  </si>
  <si>
    <t xml:space="preserve">powtórzenie funkcji F11.2</t>
  </si>
  <si>
    <t xml:space="preserve">Jak F11.2.</t>
  </si>
  <si>
    <t xml:space="preserve">A7.6</t>
  </si>
  <si>
    <t xml:space="preserve">Cele i śledzenie postępów</t>
  </si>
  <si>
    <t xml:space="preserve">A7.7</t>
  </si>
  <si>
    <t xml:space="preserve">Przypomnienia o profilaktyce</t>
  </si>
  <si>
    <t xml:space="preserve">A7.8</t>
  </si>
  <si>
    <t xml:space="preserve">Geolokalizacja w planach</t>
  </si>
  <si>
    <t xml:space="preserve">F9.1</t>
  </si>
  <si>
    <t xml:space="preserve">Sleep tracking z wearable (M2)</t>
  </si>
  <si>
    <t xml:space="preserve">Sen</t>
  </si>
  <si>
    <t xml:space="preserve">F9.2</t>
  </si>
  <si>
    <t xml:space="preserve">Sleep score 0-100</t>
  </si>
  <si>
    <t xml:space="preserve">Sahha</t>
  </si>
  <si>
    <t xml:space="preserve">Wynik snu z urządzenia (producent) albo jawny wskaźnik własny; Sahha dopiero po potwierdzeniu UE.</t>
  </si>
  <si>
    <t xml:space="preserve">F9.3</t>
  </si>
  <si>
    <t xml:space="preserve">Sleep stages (light/deep/REM)</t>
  </si>
  <si>
    <t xml:space="preserve">F9.4</t>
  </si>
  <si>
    <t xml:space="preserve">Sugestie 'spij 23:00'</t>
  </si>
  <si>
    <t xml:space="preserve">F9.7</t>
  </si>
  <si>
    <t xml:space="preserve">Sleep coaching (8-tyg program)</t>
  </si>
  <si>
    <t xml:space="preserve">własna biblioteka treści zatwierdzona przez psychologa + konto firmy w naszej aplikacji</t>
  </si>
  <si>
    <t xml:space="preserve">F9.10</t>
  </si>
  <si>
    <t xml:space="preserve">White noise / binaural beats</t>
  </si>
  <si>
    <t xml:space="preserve">F9.11</t>
  </si>
  <si>
    <t xml:space="preserve">Light therapy reminders</t>
  </si>
  <si>
    <t xml:space="preserve">F9.13</t>
  </si>
  <si>
    <t xml:space="preserve">Dream journaling + interpretation</t>
  </si>
  <si>
    <t xml:space="preserve">Bez interpretacji o charakterze terapeutycznym (zdrowie psychiczne).</t>
  </si>
  <si>
    <t xml:space="preserve">F9.15</t>
  </si>
  <si>
    <t xml:space="preserve">Personalized circadian clock</t>
  </si>
  <si>
    <t xml:space="preserve">F9.16</t>
  </si>
  <si>
    <t xml:space="preserve">Synchronizacja partnera (rodzina)</t>
  </si>
  <si>
    <t xml:space="preserve">A21.1</t>
  </si>
  <si>
    <t xml:space="preserve">Cykl menstruacyjny i objawy</t>
  </si>
  <si>
    <t xml:space="preserve">Eternal Women &amp; Family</t>
  </si>
  <si>
    <t xml:space="preserve">Kobieta, ciąża, dziecko</t>
  </si>
  <si>
    <t xml:space="preserve">A21.3</t>
  </si>
  <si>
    <t xml:space="preserve">Ciąża — przebieg i monitorowanie</t>
  </si>
  <si>
    <t xml:space="preserve">Pregnabit (Nestmedic)</t>
  </si>
  <si>
    <t xml:space="preserve">Pregnabit przez placówki; aplikacja nie ocenia zapisu KTG.</t>
  </si>
  <si>
    <t xml:space="preserve">A21.4</t>
  </si>
  <si>
    <t xml:space="preserve">Połóg i karmienie</t>
  </si>
  <si>
    <t xml:space="preserve">A21.5</t>
  </si>
  <si>
    <t xml:space="preserve">Menopauza i okres okołomenopauzalny</t>
  </si>
  <si>
    <t xml:space="preserve">A21.6</t>
  </si>
  <si>
    <t xml:space="preserve">Profil dziecka</t>
  </si>
  <si>
    <t xml:space="preserve">A21.7</t>
  </si>
  <si>
    <t xml:space="preserve">Kalendarz szczepień dziecka</t>
  </si>
  <si>
    <t xml:space="preserve">Kalendarz szczepień — dane z IKP przez pacjenta; harmonogram jako treść redakcyjna.</t>
  </si>
  <si>
    <t xml:space="preserve">A21.8</t>
  </si>
  <si>
    <t xml:space="preserve">Siatki centylowe i rozwój</t>
  </si>
  <si>
    <t xml:space="preserve">Siatki centylowe — prezentacja bez oceny klinicznej.</t>
  </si>
  <si>
    <t xml:space="preserve">A21.9</t>
  </si>
  <si>
    <t xml:space="preserve">Wywiad rodzinny</t>
  </si>
  <si>
    <t xml:space="preserve">powtórzenie funkcji F13.13</t>
  </si>
  <si>
    <t xml:space="preserve">A21.11</t>
  </si>
  <si>
    <t xml:space="preserve">Łącznik rodzinny</t>
  </si>
  <si>
    <t xml:space="preserve">Rodzina, opiekun i tryb seniora</t>
  </si>
  <si>
    <t xml:space="preserve">powtórzenie funkcji A17.6</t>
  </si>
  <si>
    <t xml:space="preserve">F5.1</t>
  </si>
  <si>
    <t xml:space="preserve">Pogoda (OpenWeatherMap free tier)</t>
  </si>
  <si>
    <t xml:space="preserve">Eternal Wellness Composer / Station</t>
  </si>
  <si>
    <t xml:space="preserve">Otoczenie i biometeorologia</t>
  </si>
  <si>
    <t xml:space="preserve">IMGW (bieżące) + Open-Meteo Standard (prognozy, licencja komercyjna).</t>
  </si>
  <si>
    <t xml:space="preserve">F5.2</t>
  </si>
  <si>
    <t xml:space="preserve">Smog (Airly API, IMGW gov.pl)</t>
  </si>
  <si>
    <t xml:space="preserve">GIOŚ — nowe API (stare usługi wyłączone po 30.06.2025).</t>
  </si>
  <si>
    <t xml:space="preserve">F5.3</t>
  </si>
  <si>
    <t xml:space="preserve">HRV z wearable (Garmin/Oura)</t>
  </si>
  <si>
    <t xml:space="preserve">F5.4</t>
  </si>
  <si>
    <t xml:space="preserve">Daily Score 0-100 (prosty algorytm)</t>
  </si>
  <si>
    <t xml:space="preserve">Jak F9.2.</t>
  </si>
  <si>
    <t xml:space="preserve">F5.5</t>
  </si>
  <si>
    <t xml:space="preserve">Push notification rano (planer dnia)</t>
  </si>
  <si>
    <t xml:space="preserve">F5.6</t>
  </si>
  <si>
    <t xml:space="preserve">Google Calendar integration</t>
  </si>
  <si>
    <t xml:space="preserve">Na MVP eksport kalendarza ICS (gotowe w aplikacji) zamiast integracji API.</t>
  </si>
  <si>
    <t xml:space="preserve">F5.7</t>
  </si>
  <si>
    <t xml:space="preserve">Apple Calendar integration</t>
  </si>
  <si>
    <t xml:space="preserve">powtórzenie funkcji F5.6</t>
  </si>
  <si>
    <t xml:space="preserve">Jak F5.6.</t>
  </si>
  <si>
    <t xml:space="preserve">F5.8</t>
  </si>
  <si>
    <t xml:space="preserve">Sleep tracker integration (Oura, Whoop)</t>
  </si>
  <si>
    <t xml:space="preserve">powtórzenie funkcji F9.1</t>
  </si>
  <si>
    <t xml:space="preserve">F5.9</t>
  </si>
  <si>
    <t xml:space="preserve">Dieta scoring (z M11)</t>
  </si>
  <si>
    <t xml:space="preserve">F5.10</t>
  </si>
  <si>
    <t xml:space="preserve">Personalizowane sugestie ('trening na 16:00')</t>
  </si>
  <si>
    <t xml:space="preserve">F5.15</t>
  </si>
  <si>
    <t xml:space="preserve">Multi-user planer (rodzina, partner)</t>
  </si>
  <si>
    <t xml:space="preserve">F5.17</t>
  </si>
  <si>
    <t xml:space="preserve">Geo-fence alerts (wjezdzasz w zone smogu)</t>
  </si>
  <si>
    <t xml:space="preserve">F5.18</t>
  </si>
  <si>
    <t xml:space="preserve">Biorhythm clock (chronobiologia)</t>
  </si>
  <si>
    <t xml:space="preserve">powtórzenie funkcji F9.15</t>
  </si>
  <si>
    <t xml:space="preserve">A22.1</t>
  </si>
  <si>
    <t xml:space="preserve">Wykrywanie upadku i braku aktywności</t>
  </si>
  <si>
    <t xml:space="preserve">Eternal Senior / Rehab</t>
  </si>
  <si>
    <t xml:space="preserve">Wykrywanie upadku: funkcja zegarka (system) + teleopieka partnera (SiDLY/Comarch); własne wykrywanie = wyrób.</t>
  </si>
  <si>
    <t xml:space="preserve">A22.2</t>
  </si>
  <si>
    <t xml:space="preserve">Ocena czynności dnia codziennego</t>
  </si>
  <si>
    <t xml:space="preserve">Opieka długoterminowa i rehabilitacja</t>
  </si>
  <si>
    <t xml:space="preserve">A22.3</t>
  </si>
  <si>
    <t xml:space="preserve">Mapa i skale bólu</t>
  </si>
  <si>
    <t xml:space="preserve">A22.5</t>
  </si>
  <si>
    <t xml:space="preserve">Oświadczenie woli i dyspozycje medyczne</t>
  </si>
  <si>
    <t xml:space="preserve">Usługę wykonują ludzie partnera: kancelaria albo notariusz (treść i poświadczenie dokumentu)</t>
  </si>
  <si>
    <t xml:space="preserve">A22.6</t>
  </si>
  <si>
    <t xml:space="preserve">Panel dla opiekuna rozszerzony</t>
  </si>
  <si>
    <t xml:space="preserve">własny moduł zadań opiekuna połączony z rodziną i lekarzem</t>
  </si>
  <si>
    <t xml:space="preserve">A22.7</t>
  </si>
  <si>
    <t xml:space="preserve">Tryb senioralny</t>
  </si>
  <si>
    <t xml:space="preserve">F13.1</t>
  </si>
  <si>
    <t xml:space="preserve">Wiek biologiczny algorytm (z HRV+VO2+BMI+ciśnienie)</t>
  </si>
  <si>
    <t xml:space="preserve">Eternal Wellness Composer / Digital Twin</t>
  </si>
  <si>
    <t xml:space="preserve">Wiek biologiczny i długowieczność</t>
  </si>
  <si>
    <t xml:space="preserve">„Wiek biologiczny” — ryzyko kwalifikacji jako wyrób i wprowadzania w błąd; tylko jawne wskaźniki opisowe.</t>
  </si>
  <si>
    <t xml:space="preserve">F13.2</t>
  </si>
  <si>
    <t xml:space="preserve">Trend miesięczny</t>
  </si>
  <si>
    <t xml:space="preserve">F13.3</t>
  </si>
  <si>
    <t xml:space="preserve">Porównanie do peer group</t>
  </si>
  <si>
    <t xml:space="preserve">powtórzenie funkcji A3.8</t>
  </si>
  <si>
    <t xml:space="preserve">Porównanie do grupy — tylko dane zanonimizowane, bez oceny zdrowia.</t>
  </si>
  <si>
    <t xml:space="preserve">F13.4</t>
  </si>
  <si>
    <t xml:space="preserve">Gamifikacja (osiagniecia, badges)</t>
  </si>
  <si>
    <t xml:space="preserve">F13.7</t>
  </si>
  <si>
    <t xml:space="preserve">Longevity markers (CRP, GlycA, ApoB)</t>
  </si>
  <si>
    <t xml:space="preserve">Diagnostyka</t>
  </si>
  <si>
    <t xml:space="preserve">F13.8</t>
  </si>
  <si>
    <t xml:space="preserve">Personalized longevity score</t>
  </si>
  <si>
    <t xml:space="preserve">Jak F13.1.</t>
  </si>
  <si>
    <t xml:space="preserve">A10.1</t>
  </si>
  <si>
    <t xml:space="preserve">Leki (e-Recepta)</t>
  </si>
  <si>
    <t xml:space="preserve">Eternal Care Access / Forge</t>
  </si>
  <si>
    <t xml:space="preserve">Apteka i dostępność leków</t>
  </si>
  <si>
    <t xml:space="preserve">powtórzenie funkcji F7.13</t>
  </si>
  <si>
    <t xml:space="preserve">Recepta wyłącznie po konsultacji lekarza partnera; bez korzyści za zakup leków i bez kierowania do aptek.</t>
  </si>
  <si>
    <t xml:space="preserve">A10.4</t>
  </si>
  <si>
    <t xml:space="preserve">Badania laboratoryjne (punkty)</t>
  </si>
  <si>
    <t xml:space="preserve">Laboratoria — zamawianie badań i wyniki</t>
  </si>
  <si>
    <t xml:space="preserve">powtórzenie funkcji F10.3</t>
  </si>
  <si>
    <t xml:space="preserve">A10.7</t>
  </si>
  <si>
    <t xml:space="preserve">ZnanyLekarz / specjaliści</t>
  </si>
  <si>
    <t xml:space="preserve">ZnanyLekarz jako kanał dystrybucji (Docplanner Integrations API).</t>
  </si>
  <si>
    <t xml:space="preserve">S6.3</t>
  </si>
  <si>
    <t xml:space="preserve">Monitorowanie oddechu</t>
  </si>
  <si>
    <t xml:space="preserve">Eternal Station Advanced</t>
  </si>
  <si>
    <t xml:space="preserve">Domowe czujniki bez noszenia (łazienka, łóżko, materac)</t>
  </si>
  <si>
    <t xml:space="preserve">Withings (U-Scan, Sleep Analyzer)</t>
  </si>
  <si>
    <t xml:space="preserve">F14.1</t>
  </si>
  <si>
    <t xml:space="preserve">3D model body (Three.js)</t>
  </si>
  <si>
    <t xml:space="preserve">Eternal Digital Twin</t>
  </si>
  <si>
    <t xml:space="preserve">Cyfrowy cień i ciało 3D</t>
  </si>
  <si>
    <t xml:space="preserve">powtórzenie funkcji A3.9</t>
  </si>
  <si>
    <t xml:space="preserve">3D Slicer</t>
  </si>
  <si>
    <t xml:space="preserve">3D Slicer służy do obrazowania DICOM → Three.js + otwarty model anatomii.</t>
  </si>
  <si>
    <t xml:space="preserve">F14.2</t>
  </si>
  <si>
    <t xml:space="preserve">Biomarkers overlay (kolor według stanu)</t>
  </si>
  <si>
    <t xml:space="preserve">F14.3</t>
  </si>
  <si>
    <t xml:space="preserve">Statyczny snapshot</t>
  </si>
  <si>
    <t xml:space="preserve">X1.1</t>
  </si>
  <si>
    <t xml:space="preserve">Baza wiedzy</t>
  </si>
  <si>
    <t xml:space="preserve">P5 — Matrix</t>
  </si>
  <si>
    <t xml:space="preserve">Matrix Community</t>
  </si>
  <si>
    <t xml:space="preserve">Społeczność, wyzwania i edukacja</t>
  </si>
  <si>
    <t xml:space="preserve">powtórzenie funkcji A9.1</t>
  </si>
  <si>
    <t xml:space="preserve">Strapi</t>
  </si>
  <si>
    <t xml:space="preserve">X1.2</t>
  </si>
  <si>
    <t xml:space="preserve">Forum</t>
  </si>
  <si>
    <t xml:space="preserve">powtórzenie funkcji A9.2</t>
  </si>
  <si>
    <t xml:space="preserve">Discourse</t>
  </si>
  <si>
    <t xml:space="preserve">X1.4</t>
  </si>
  <si>
    <t xml:space="preserve">Webinaria</t>
  </si>
  <si>
    <t xml:space="preserve">powtórzenie funkcji A9.4</t>
  </si>
  <si>
    <t xml:space="preserve">ClickMeeting; wydarzenia w aplikacji — LiveKit.</t>
  </si>
  <si>
    <t xml:space="preserve">X1.5</t>
  </si>
  <si>
    <t xml:space="preserve">Grupy wsparcia</t>
  </si>
  <si>
    <t xml:space="preserve">powtórzenie funkcji A9.6</t>
  </si>
  <si>
    <t xml:space="preserve">A9.1</t>
  </si>
  <si>
    <t xml:space="preserve">Baza wiedzy zdrowotnej</t>
  </si>
  <si>
    <t xml:space="preserve">Matrix Community / App</t>
  </si>
  <si>
    <t xml:space="preserve">A9.2</t>
  </si>
  <si>
    <t xml:space="preserve">Forum społecznościowe</t>
  </si>
  <si>
    <t xml:space="preserve">A9.3</t>
  </si>
  <si>
    <t xml:space="preserve">Gamifikacja</t>
  </si>
  <si>
    <t xml:space="preserve">powtórzenie funkcji F13.4</t>
  </si>
  <si>
    <t xml:space="preserve">A9.4</t>
  </si>
  <si>
    <t xml:space="preserve">Webinaria na żywo</t>
  </si>
  <si>
    <t xml:space="preserve">Jak X1.4.</t>
  </si>
  <si>
    <t xml:space="preserve">A9.6</t>
  </si>
  <si>
    <t xml:space="preserve">Grupy wsparcia tematyczne</t>
  </si>
  <si>
    <t xml:space="preserve">F15.1</t>
  </si>
  <si>
    <t xml:space="preserve">Forum (Discourse self-hosted)</t>
  </si>
  <si>
    <t xml:space="preserve">F15.3</t>
  </si>
  <si>
    <t xml:space="preserve">Like / Comment</t>
  </si>
  <si>
    <t xml:space="preserve">powtórzenie funkcji F15.2</t>
  </si>
  <si>
    <t xml:space="preserve">F15.4</t>
  </si>
  <si>
    <t xml:space="preserve">Grupy tematyczne</t>
  </si>
  <si>
    <t xml:space="preserve">F15.5</t>
  </si>
  <si>
    <t xml:space="preserve">Profile użytkownika</t>
  </si>
  <si>
    <t xml:space="preserve">F15.6</t>
  </si>
  <si>
    <t xml:space="preserve">Live events (LiveKit)</t>
  </si>
  <si>
    <t xml:space="preserve">F15.7</t>
  </si>
  <si>
    <t xml:space="preserve">Challenges (90-day, etc.)</t>
  </si>
  <si>
    <t xml:space="preserve">F15.8</t>
  </si>
  <si>
    <t xml:space="preserve">Podcast Eternal (audio CDN)</t>
  </si>
  <si>
    <t xml:space="preserve">F15.9</t>
  </si>
  <si>
    <t xml:space="preserve">eBooki Eternal (PDF/EPUB)</t>
  </si>
  <si>
    <t xml:space="preserve">wspólny silnik sprzedaży (ten sam co marketplace) z biblioteką własną</t>
  </si>
  <si>
    <t xml:space="preserve">F15.10</t>
  </si>
  <si>
    <t xml:space="preserve">Mentor program (matching)</t>
  </si>
  <si>
    <t xml:space="preserve">powtórzenie funkcji A17.8</t>
  </si>
  <si>
    <t xml:space="preserve">F15.11</t>
  </si>
  <si>
    <t xml:space="preserve">Lokalne spotkania (kalendarz)</t>
  </si>
  <si>
    <t xml:space="preserve">kalendarz własny z zapisami</t>
  </si>
  <si>
    <t xml:space="preserve">F15.15</t>
  </si>
  <si>
    <t xml:space="preserve">NFT badges (achievements)</t>
  </si>
  <si>
    <t xml:space="preserve">Zasada stała: brak tokenów o wartości pieniężnej → zwykłe odznaki, bez NFT.</t>
  </si>
  <si>
    <t xml:space="preserve">A16.1</t>
  </si>
  <si>
    <t xml:space="preserve">Katalog open source / patentów</t>
  </si>
  <si>
    <t xml:space="preserve">P7 — Forge</t>
  </si>
  <si>
    <t xml:space="preserve">Forge Marketplace</t>
  </si>
  <si>
    <t xml:space="preserve">Forge i marketplace (technologie, usługi, produkty)</t>
  </si>
  <si>
    <t xml:space="preserve">A16.3</t>
  </si>
  <si>
    <t xml:space="preserve">AI do łączenia projektów</t>
  </si>
  <si>
    <t xml:space="preserve">A16.5</t>
  </si>
  <si>
    <t xml:space="preserve">Program partnerski</t>
  </si>
  <si>
    <t xml:space="preserve">A16.7</t>
  </si>
  <si>
    <t xml:space="preserve">Dynamiczny scoring</t>
  </si>
  <si>
    <t xml:space="preserve">A13.1</t>
  </si>
  <si>
    <t xml:space="preserve">Pet App — profil gatunku/rasy</t>
  </si>
  <si>
    <t xml:space="preserve">Eternal Pet</t>
  </si>
  <si>
    <t xml:space="preserve">MVP produktu (2029–2030)</t>
  </si>
  <si>
    <t xml:space="preserve">FINAL</t>
  </si>
  <si>
    <t xml:space="preserve">Programy do prowadzenia lecznic weterynaryjnych</t>
  </si>
  <si>
    <t xml:space="preserve">integracja z programem lecznicy partnerskiej (do wyboru w naborze)</t>
  </si>
  <si>
    <t xml:space="preserve">A13.2</t>
  </si>
  <si>
    <t xml:space="preserve">Agregacja z GPS collar</t>
  </si>
  <si>
    <t xml:space="preserve">Obroże i lokalizatory dla zwierząt</t>
  </si>
  <si>
    <t xml:space="preserve">Tractive</t>
  </si>
  <si>
    <t xml:space="preserve">A13.3</t>
  </si>
  <si>
    <t xml:space="preserve">Mini Station Pet (miska z wagą)</t>
  </si>
  <si>
    <t xml:space="preserve">Urządzenia domowe dla zwierząt (miska z wagą, poidło, kuweta, kamera)</t>
  </si>
  <si>
    <t xml:space="preserve">Sure Petcare</t>
  </si>
  <si>
    <t xml:space="preserve">A13.4</t>
  </si>
  <si>
    <t xml:space="preserve">Vet AI</t>
  </si>
  <si>
    <t xml:space="preserve">Teleporady weterynaryjne i lecznice</t>
  </si>
  <si>
    <t xml:space="preserve">lecznice partnerskie z naszym panelem</t>
  </si>
  <si>
    <t xml:space="preserve">A13.5</t>
  </si>
  <si>
    <t xml:space="preserve">Pet Bio-Tag (NFC + GPS)</t>
  </si>
  <si>
    <t xml:space="preserve">Chipy identyfikacyjne dla zwierząt (także z czujnikiem temperatury)</t>
  </si>
  <si>
    <t xml:space="preserve">Destron Fearing</t>
  </si>
  <si>
    <t xml:space="preserve">F16.1</t>
  </si>
  <si>
    <t xml:space="preserve">Zamówienie testu (kit do domu)</t>
  </si>
  <si>
    <t xml:space="preserve">Eternal Genetics / Digital Twin</t>
  </si>
  <si>
    <t xml:space="preserve">Genetyka</t>
  </si>
  <si>
    <t xml:space="preserve">polskie laboratorium genetyczne z poradnictwem</t>
  </si>
  <si>
    <t xml:space="preserve">F16.2</t>
  </si>
  <si>
    <t xml:space="preserve">Upload wyników (raw data)</t>
  </si>
  <si>
    <t xml:space="preserve">F16.3</t>
  </si>
  <si>
    <t xml:space="preserve">Wizualizacja drzewa genealogicznego</t>
  </si>
  <si>
    <t xml:space="preserve">F16.4</t>
  </si>
  <si>
    <t xml:space="preserve">Top 100 markerow zdrowia</t>
  </si>
  <si>
    <t xml:space="preserve">F16.5</t>
  </si>
  <si>
    <t xml:space="preserve">Lista leków do unikania (PGx)</t>
  </si>
  <si>
    <t xml:space="preserve">powtórzenie funkcji A20.5</t>
  </si>
  <si>
    <t xml:space="preserve">F16.6</t>
  </si>
  <si>
    <t xml:space="preserve">Pełna interpretacja kliniczna</t>
  </si>
  <si>
    <t xml:space="preserve">F16.8</t>
  </si>
  <si>
    <t xml:space="preserve">Carrier status (rodzicielstwo)</t>
  </si>
  <si>
    <t xml:space="preserve">F16.9</t>
  </si>
  <si>
    <t xml:space="preserve">Integracja z dieta (CYP, MTHFR)</t>
  </si>
  <si>
    <t xml:space="preserve">F16.10</t>
  </si>
  <si>
    <t xml:space="preserve">Integracja z treningiem (ACTN3)</t>
  </si>
  <si>
    <t xml:space="preserve">F16.11</t>
  </si>
  <si>
    <t xml:space="preserve">Whole Genome Sequencing</t>
  </si>
  <si>
    <t xml:space="preserve">F16.13</t>
  </si>
  <si>
    <t xml:space="preserve">Family genetics (rodzina razem)</t>
  </si>
  <si>
    <t xml:space="preserve">F16.15</t>
  </si>
  <si>
    <t xml:space="preserve">Pharmacogenomics PRO</t>
  </si>
  <si>
    <t xml:space="preserve">C1.1</t>
  </si>
  <si>
    <t xml:space="preserve">Identyfikacja NFC</t>
  </si>
  <si>
    <t xml:space="preserve">P3 — Capsule</t>
  </si>
  <si>
    <t xml:space="preserve">Eternal Bio-Tag</t>
  </si>
  <si>
    <t xml:space="preserve">Implanty i czujniki partnerów (Capsule, Bio-Tag)</t>
  </si>
  <si>
    <t xml:space="preserve">C1.2</t>
  </si>
  <si>
    <t xml:space="preserve">Temperatura (NTC)</t>
  </si>
  <si>
    <t xml:space="preserve">C2.1</t>
  </si>
  <si>
    <t xml:space="preserve">CGM (glukoza)</t>
  </si>
  <si>
    <t xml:space="preserve">Eternal Bio-Monitor</t>
  </si>
  <si>
    <t xml:space="preserve">powtórzenie funkcji F2.8</t>
  </si>
  <si>
    <t xml:space="preserve">Dexcom</t>
  </si>
  <si>
    <t xml:space="preserve">C2.3</t>
  </si>
  <si>
    <t xml:space="preserve">Mleczany</t>
  </si>
  <si>
    <t xml:space="preserve">Funkcję daje producent czujnika (gdy wprowadzi wyrób) — nie kupujemy jej</t>
  </si>
  <si>
    <t xml:space="preserve">Producent czujnika (gdy wprowadzi wyrób)</t>
  </si>
  <si>
    <t xml:space="preserve">D3.1</t>
  </si>
  <si>
    <t xml:space="preserve">Testament danych</t>
  </si>
  <si>
    <t xml:space="preserve">Eternal Legacy</t>
  </si>
  <si>
    <t xml:space="preserve">Dziedzictwo danych</t>
  </si>
  <si>
    <t xml:space="preserve">własne archiwum z dyspozycją użytkownika + kancelaria albo notariusz partner</t>
  </si>
  <si>
    <t xml:space="preserve">X2.6</t>
  </si>
  <si>
    <t xml:space="preserve">Integracja z Twin</t>
  </si>
  <si>
    <t xml:space="preserve">Matrix Immersive</t>
  </si>
  <si>
    <t xml:space="preserve">Unity albo Unreal Engine ze standardem OpenXR</t>
  </si>
  <si>
    <t xml:space="preserve">W4 — KOSZT ZEWNĘTRZNY WYBRANYCH ROZWIĄZAŃ NA ETAPACH (zł/mies.)</t>
  </si>
  <si>
    <t xml:space="preserve">Model kosztów usług z W1/W2 przy założonej skali. Niebieskie liczby na żółtym tle = założenia do edycji; czarne = formuły. Bez kosztu pracy zespołu (ten jest w pliku 11.1, Z4).</t>
  </si>
  <si>
    <t xml:space="preserve">ZAŁOŻENIE = wartość przyjęta bez potwierdzenia w źródle — do zastąpienia danymi z ofert. Ceny w USD/EUR przeliczane kursami z sekcji A.</t>
  </si>
  <si>
    <t xml:space="preserve">A. Kursy walut</t>
  </si>
  <si>
    <t xml:space="preserve">Pozycja</t>
  </si>
  <si>
    <t xml:space="preserve">Wartość</t>
  </si>
  <si>
    <t xml:space="preserve">Jednostka</t>
  </si>
  <si>
    <t xml:space="preserve">Źródło / uwaga</t>
  </si>
  <si>
    <t xml:space="preserve">Kurs USD → PLN</t>
  </si>
  <si>
    <t xml:space="preserve">zł za 1 USD</t>
  </si>
  <si>
    <t xml:space="preserve">ZAŁOŻENIE — zastąp średnim kursem NBP z dnia decyzji</t>
  </si>
  <si>
    <t xml:space="preserve">Kurs EUR → PLN</t>
  </si>
  <si>
    <t xml:space="preserve">zł za 1 EUR</t>
  </si>
  <si>
    <t xml:space="preserve">B. Założenia skali na etapach (do edycji)</t>
  </si>
  <si>
    <t xml:space="preserve">Założenie</t>
  </si>
  <si>
    <t xml:space="preserve">DEMO</t>
  </si>
  <si>
    <t xml:space="preserve">MVP 2027</t>
  </si>
  <si>
    <t xml:space="preserve">MLP 2028</t>
  </si>
  <si>
    <t xml:space="preserve">FINAL 2029–30</t>
  </si>
  <si>
    <t xml:space="preserve">Aktywni użytkownicy w miesiącu</t>
  </si>
  <si>
    <t xml:space="preserve">osoby</t>
  </si>
  <si>
    <t xml:space="preserve">ZAŁOŻENIE — plik 11.1 nie podaje liczby użytkowników</t>
  </si>
  <si>
    <t xml:space="preserve">Placówki korzystające z panelu</t>
  </si>
  <si>
    <t xml:space="preserve">placówki</t>
  </si>
  <si>
    <t xml:space="preserve">ZAŁOŻENIE</t>
  </si>
  <si>
    <t xml:space="preserve">Wizyty wideo na placówkę w miesiącu</t>
  </si>
  <si>
    <t xml:space="preserve">wizyty</t>
  </si>
  <si>
    <t xml:space="preserve">Udział wizyt nagrywanych do Scribe</t>
  </si>
  <si>
    <t xml:space="preserve">%</t>
  </si>
  <si>
    <t xml:space="preserve">Minuty nagrania na wizytę</t>
  </si>
  <si>
    <t xml:space="preserve">min</t>
  </si>
  <si>
    <t xml:space="preserve">Udział użytkowników wgrywających dokumenty w miesiącu</t>
  </si>
  <si>
    <t xml:space="preserve">Strony na wgrywającego w miesiącu</t>
  </si>
  <si>
    <t xml:space="preserve">strony</t>
  </si>
  <si>
    <t xml:space="preserve">Udział stron wymagających OCR (skany, zdjęcia)</t>
  </si>
  <si>
    <t xml:space="preserve">ZAŁOŻENIE — PDF z warstwą tekstową czytamy bez OCR (W-10)</t>
  </si>
  <si>
    <t xml:space="preserve">Zapytania do modeli językowych na użytkownika w miesiącu</t>
  </si>
  <si>
    <t xml:space="preserve">zapytania</t>
  </si>
  <si>
    <t xml:space="preserve">Tokeny wejścia na zapytanie</t>
  </si>
  <si>
    <t xml:space="preserve">tokeny</t>
  </si>
  <si>
    <t xml:space="preserve">Tokeny wyjścia na zapytanie</t>
  </si>
  <si>
    <t xml:space="preserve">Udział zapytań do modelu większego (Sonnet)</t>
  </si>
  <si>
    <t xml:space="preserve">ZAŁOŻENIE — reszta: Haiku</t>
  </si>
  <si>
    <t xml:space="preserve">SMS na placówkę w miesiącu</t>
  </si>
  <si>
    <t xml:space="preserve">SMS</t>
  </si>
  <si>
    <t xml:space="preserve">Plik 11.1, Z4 nr 8: klinika z 1 000 wizyt i 2 SMS-ami na wizytę</t>
  </si>
  <si>
    <t xml:space="preserve">E-maile na użytkownika w miesiącu</t>
  </si>
  <si>
    <t xml:space="preserve">e-maile</t>
  </si>
  <si>
    <t xml:space="preserve">Udział użytkowników z chmurami producentów przez płatny agregator</t>
  </si>
  <si>
    <t xml:space="preserve">W-15: na MVP Open Wearables u nas (0 zł opłat); Thryve od MLP</t>
  </si>
  <si>
    <t xml:space="preserve">Agenci obsługi zgłoszeń (Zammad)</t>
  </si>
  <si>
    <t xml:space="preserve">Open-Meteo Standard (1 = używamy)</t>
  </si>
  <si>
    <t xml:space="preserve">0/1</t>
  </si>
  <si>
    <t xml:space="preserve">W-51: moduł Otoczenie od 2028</t>
  </si>
  <si>
    <t xml:space="preserve">DeepL Growth (1 = używamy)</t>
  </si>
  <si>
    <t xml:space="preserve">Expo EAS — plan</t>
  </si>
  <si>
    <t xml:space="preserve">USD/mies.</t>
  </si>
  <si>
    <t xml:space="preserve">[Z55] Production 199 USD; Demo — plan Free</t>
  </si>
  <si>
    <t xml:space="preserve">Infrastruktura bazowa (baza, pliki, serwery aplikacji)</t>
  </si>
  <si>
    <t xml:space="preserve">zł/mies.</t>
  </si>
  <si>
    <t xml:space="preserve">Plik 11.1, Z4 nr 5 (Demo 100, MVP 800, MLP 2 000); FINAL — ZAŁOŻENIE</t>
  </si>
  <si>
    <t xml:space="preserve">Serwer wideo (Jitsi → LiveKit u nas)</t>
  </si>
  <si>
    <t xml:space="preserve">Plik 11.1, Z4 nr 22 (MVP 350, MLP 600); FINAL — ZAŁOŻENIE</t>
  </si>
  <si>
    <t xml:space="preserve">Serwery narzędzi open source (Keycloak, Unleash, Langfuse, Open Wearables, Strapi, Grafana)</t>
  </si>
  <si>
    <t xml:space="preserve">C. Ceny jednostkowe (do edycji)</t>
  </si>
  <si>
    <t xml:space="preserve">Cena</t>
  </si>
  <si>
    <t xml:space="preserve">Mistral OCR 4</t>
  </si>
  <si>
    <t xml:space="preserve">USD / 1 000 stron</t>
  </si>
  <si>
    <t xml:space="preserve">[Z03]</t>
  </si>
  <si>
    <t xml:space="preserve">Google Document AI Enterprise OCR (dla porównania)</t>
  </si>
  <si>
    <t xml:space="preserve">[Z16]</t>
  </si>
  <si>
    <t xml:space="preserve">Claude Haiku 4.5 — wejście</t>
  </si>
  <si>
    <t xml:space="preserve">USD / 1 mln tokenów</t>
  </si>
  <si>
    <t xml:space="preserve">[Z64] cena API; Bedrock — sprawdzić cennik regionu</t>
  </si>
  <si>
    <t xml:space="preserve">Claude Haiku 4.5 — wyjście</t>
  </si>
  <si>
    <t xml:space="preserve">[Z64]</t>
  </si>
  <si>
    <t xml:space="preserve">Claude Sonnet 4.6 — wejście</t>
  </si>
  <si>
    <t xml:space="preserve">Claude Sonnet 4.6 — wyjście</t>
  </si>
  <si>
    <t xml:space="preserve">Transkrypcja (ElevenLabs Scribe)</t>
  </si>
  <si>
    <t xml:space="preserve">USD / min</t>
  </si>
  <si>
    <t xml:space="preserve">ZAŁOŻENIE — cena ElevenLabs do potwierdzenia; odniesienia: Corti 0,0065 [Z08], OpenAI ok. 0,006</t>
  </si>
  <si>
    <t xml:space="preserve">SMS (SMSAPI.pl)</t>
  </si>
  <si>
    <t xml:space="preserve">zł / SMS</t>
  </si>
  <si>
    <t xml:space="preserve">ZAŁOŻENIE w przedziale OVHcloud 0,109–0,135 zł [Z28]; cennik SMSAPI niesprawdzony</t>
  </si>
  <si>
    <t xml:space="preserve">E-mail (Amazon SES, a la carte)</t>
  </si>
  <si>
    <t xml:space="preserve">USD / 1 000</t>
  </si>
  <si>
    <t xml:space="preserve">[Z53]</t>
  </si>
  <si>
    <t xml:space="preserve">Thryve — opłata stała (do 500 użytkowników)</t>
  </si>
  <si>
    <t xml:space="preserve">EUR / mies.</t>
  </si>
  <si>
    <t xml:space="preserve">[Z22]</t>
  </si>
  <si>
    <t xml:space="preserve">Thryve — każdy kolejny użytkownik</t>
  </si>
  <si>
    <t xml:space="preserve">Open-Meteo Standard</t>
  </si>
  <si>
    <t xml:space="preserve">USD / mies.</t>
  </si>
  <si>
    <t xml:space="preserve">[Z35]</t>
  </si>
  <si>
    <t xml:space="preserve">DeepL Growth</t>
  </si>
  <si>
    <t xml:space="preserve">[Z36] — do potwierdzenia</t>
  </si>
  <si>
    <t xml:space="preserve">Zammad Starter (do 5 agentów)</t>
  </si>
  <si>
    <t xml:space="preserve">EUR / agenta / mies.</t>
  </si>
  <si>
    <t xml:space="preserve">[Z61]</t>
  </si>
  <si>
    <t xml:space="preserve">Zammad Professional (powyżej 5 agentów)</t>
  </si>
  <si>
    <t xml:space="preserve">Amazon Cognito Essentials powyżej 10 tys. aktywnych (dla porównania)</t>
  </si>
  <si>
    <t xml:space="preserve">USD / aktywnego</t>
  </si>
  <si>
    <t xml:space="preserve">[Z01]</t>
  </si>
  <si>
    <t xml:space="preserve">Amazon Cognito — próg bezpłatny</t>
  </si>
  <si>
    <t xml:space="preserve">aktywnych / mies.</t>
  </si>
  <si>
    <t xml:space="preserve">D. Koszt miesięczny wybranych rozwiązań (zł/mies.)</t>
  </si>
  <si>
    <t xml:space="preserve">Pozycja kosztu</t>
  </si>
  <si>
    <t xml:space="preserve">Wybór (W1/W2)</t>
  </si>
  <si>
    <t xml:space="preserve">Wzór</t>
  </si>
  <si>
    <t xml:space="preserve">Odczyt dokumentów (OCR)</t>
  </si>
  <si>
    <t xml:space="preserve">aktywni × udział wgrywających × strony × udział OCR × cena / 1 000 × kurs</t>
  </si>
  <si>
    <t xml:space="preserve">Modele językowe (Claude przez Bedrock UE)</t>
  </si>
  <si>
    <t xml:space="preserve">zapytania × (tokeny × ceny, mieszanka Haiku/Sonnet) / 1 mln × kurs</t>
  </si>
  <si>
    <t xml:space="preserve">Transkrypcja do Scribe</t>
  </si>
  <si>
    <t xml:space="preserve">placówki × wizyty × udział nagrywanych × minuty × cena × kurs</t>
  </si>
  <si>
    <t xml:space="preserve">SMS (przypomnienia, kody)</t>
  </si>
  <si>
    <t xml:space="preserve">placówki × SMS × cena</t>
  </si>
  <si>
    <t xml:space="preserve">E-mail transakcyjny</t>
  </si>
  <si>
    <t xml:space="preserve">aktywni × e-maile × cena / 1 000 × kurs</t>
  </si>
  <si>
    <t xml:space="preserve">Agregator chmur producentów (Thryve)</t>
  </si>
  <si>
    <t xml:space="preserve">opłata stała + nadwyżka ponad 500 użytkowników × kurs</t>
  </si>
  <si>
    <t xml:space="preserve">Pogoda i powietrze (Open-Meteo Standard)</t>
  </si>
  <si>
    <t xml:space="preserve">flaga × cena × kurs</t>
  </si>
  <si>
    <t xml:space="preserve">Tłumaczenia (DeepL Growth)</t>
  </si>
  <si>
    <t xml:space="preserve">Zgłoszenia (Zammad Cloud)</t>
  </si>
  <si>
    <t xml:space="preserve">agenci × cena planu × kurs</t>
  </si>
  <si>
    <t xml:space="preserve">Budowanie aplikacji mobilnej (Expo EAS)</t>
  </si>
  <si>
    <t xml:space="preserve">plan × kurs</t>
  </si>
  <si>
    <t xml:space="preserve">Infrastruktura bazowa</t>
  </si>
  <si>
    <t xml:space="preserve">z założeń</t>
  </si>
  <si>
    <t xml:space="preserve">Serwer wideo</t>
  </si>
  <si>
    <t xml:space="preserve">Serwery narzędzi open source</t>
  </si>
  <si>
    <t xml:space="preserve">W-01, W-35, W-38, W-15, W-55</t>
  </si>
  <si>
    <t xml:space="preserve">RAZEM koszt zewnętrzny</t>
  </si>
  <si>
    <t xml:space="preserve">Koszt zewnętrzny na aktywnego użytkownika (zł/mies.)</t>
  </si>
  <si>
    <t xml:space="preserve">E. Dla porównania — warianty z pliku 11.1 (nie wliczone w RAZEM)</t>
  </si>
  <si>
    <t xml:space="preserve">Wariant</t>
  </si>
  <si>
    <t xml:space="preserve">Dotyczy</t>
  </si>
  <si>
    <t xml:space="preserve">Tożsamość w Amazon Cognito Essentials zamiast Keycloak (opłata za aktywnych)</t>
  </si>
  <si>
    <t xml:space="preserve">(aktywni − próg bezpłatny) × cena × kurs; koszt wyjścia z Cognito (reset haseł) — niepoliczalny tutaj</t>
  </si>
  <si>
    <t xml:space="preserve">OCR w Google Document AI zamiast Mistral OCR 4</t>
  </si>
  <si>
    <t xml:space="preserve">jak OCR, cena Google</t>
  </si>
  <si>
    <t xml:space="preserve">F. Poza modelem — ceny na zapytanie (do uzupełnienia po ofertach)</t>
  </si>
  <si>
    <t xml:space="preserve">Labplus (interpretacja wyników, W-12) — cena partnera + marża w pakiecie „Dodatek med”.</t>
  </si>
  <si>
    <t xml:space="preserve">Infermedica (triaż, W-26) — licencja; wg obserwatorów rynku od kilkudziesięciu tys. EUR/rok [Z11].</t>
  </si>
  <si>
    <t xml:space="preserve">DR.INFO (asystent dla lekarza, W-13) — Pro 9,92 EUR/mies. za lekarza; API — oferta [Z07].</t>
  </si>
  <si>
    <t xml:space="preserve">ElevenLabs Scribe (W-23) — plan Enterprise z rezydencją UE; cena do potwierdzenia.</t>
  </si>
  <si>
    <t xml:space="preserve">Vitalera (RPM, W-17), Withings Enterprise (W-16), Authologic (W-03), SiDLY/Comarch (W-32), Telemedi (W-29) — umowy partnerskie.</t>
  </si>
  <si>
    <t xml:space="preserve">Praca zespołu — w pliku 11.1, arkusz Z4 (osobodni na etap).</t>
  </si>
  <si>
    <t xml:space="preserve">W5 — ZMIANY NA RYNKU I W PRAWIE, KTÓRE ZMIENIAJĄ WYBÓR (stan: 10.2026)</t>
  </si>
  <si>
    <t xml:space="preserve">Zdarzenia wykryte przy sprawdzaniu ★ z pliku 11.1 (stan sprawdzenia w pliku: „niesprawdzone”).</t>
  </si>
  <si>
    <t xml:space="preserve">Nr</t>
  </si>
  <si>
    <t xml:space="preserve">Kiedy</t>
  </si>
  <si>
    <t xml:space="preserve">Co się zmieniło na rynku / w prawie</t>
  </si>
  <si>
    <t xml:space="preserve">Dotyczy (W-)</t>
  </si>
  <si>
    <t xml:space="preserve">Funkcje (kody)</t>
  </si>
  <si>
    <t xml:space="preserve">Skutek dla Eternal</t>
  </si>
  <si>
    <t xml:space="preserve">Decyzja w tym skoroszycie</t>
  </si>
  <si>
    <t xml:space="preserve">Źródło</t>
  </si>
  <si>
    <t xml:space="preserve">28.04.2026</t>
  </si>
  <si>
    <t xml:space="preserve">OpenEvidence wycofał usługę z UE i Wielkiej Brytanii, powołując się na niepewność regulacyjną (m.in. AI Act).</t>
  </si>
  <si>
    <t xml:space="preserve">★ z pliku niedostępny w Polsce.</t>
  </si>
  <si>
    <t xml:space="preserve">Lekarz: DR.INFO (CE kl. I, UE, API); pacjent: własny asystent wiedzy na treściach redakcyjnych.</t>
  </si>
  <si>
    <t xml:space="preserve">Z06, Z07</t>
  </si>
  <si>
    <t xml:space="preserve">06.2026</t>
  </si>
  <si>
    <t xml:space="preserve">Strava: nowi twórcy aplikacji muszą mieć subskrypcję (od 1.06.2026); zakaz użycia danych w AI (także jako kontekst/RAG); dane widoczne tylko dla właściciela; brak obsługi pośredników.</t>
  </si>
  <si>
    <t xml:space="preserve">F12.2, F12.8, F12.9</t>
  </si>
  <si>
    <t xml:space="preserve">Funkcje treningowe oparte na Strava sprzeczne z regulaminem (plany AI).</t>
  </si>
  <si>
    <t xml:space="preserve">Dane treningowe przez HealthKit/Health Connect i Open Wearables; Strava — nie.</t>
  </si>
  <si>
    <t xml:space="preserve">Z26</t>
  </si>
  <si>
    <t xml:space="preserve">wiosna 2026</t>
  </si>
  <si>
    <t xml:space="preserve">Garmin wstrzymał przyjmowanie nowych wniosków do Connect Developer Program (przebudowa programu); dotychczasowi partnerzy działają.</t>
  </si>
  <si>
    <t xml:space="preserve">F5.3, F12.1</t>
  </si>
  <si>
    <t xml:space="preserve">Brak bezpośredniego dostępu do chmury Garmin dla nowego partnera.</t>
  </si>
  <si>
    <t xml:space="preserve">Dane Garmin przez system telefonu; Thryve/Open Wearables; bezpośrednio po wznowieniu naboru.</t>
  </si>
  <si>
    <t xml:space="preserve">Z41</t>
  </si>
  <si>
    <t xml:space="preserve">19.03.2026</t>
  </si>
  <si>
    <t xml:space="preserve">Kompromitacja skanera Trivy i akcji trivy-action / setup-trivy (kradzież sekretów CI, 75 z 76 tagów).</t>
  </si>
  <si>
    <t xml:space="preserve">★ z pliku był wektorem ataku.</t>
  </si>
  <si>
    <t xml:space="preserve">Grype/OSV-Scanner + Syft; akcje przypięte do skrótu commita.</t>
  </si>
  <si>
    <t xml:space="preserve">27.07.2026</t>
  </si>
  <si>
    <t xml:space="preserve">AI Omnibus (rozporządzenie 2026/1744) w mocy: obowiązki dla samodzielnych systemów wysokiego ryzyka od 2.12.2027, dla AI w wyrobach regulowanych (m.in. medycznych) od 2.08.2028; oznaczanie treści AI dla systemów sprzed 2.08.2026 do 2.12.2026; przejrzystość, GPAI i zakazy — bez zmian.</t>
  </si>
  <si>
    <t xml:space="preserve">W-11, W-38, W-12, W-26</t>
  </si>
  <si>
    <t xml:space="preserve">A19.1, A19.2, A19.6</t>
  </si>
  <si>
    <t xml:space="preserve">Więcej czasu na wysokie ryzyko; przejrzystość obowiązuje już teraz.</t>
  </si>
  <si>
    <t xml:space="preserve">Oznaczanie treści AI w MVP; logi i rejestr od MVP.</t>
  </si>
  <si>
    <t xml:space="preserve">Z09</t>
  </si>
  <si>
    <t xml:space="preserve">15.04.2026</t>
  </si>
  <si>
    <t xml:space="preserve">Cal.com przeniósł kod produkcyjny do prywatnego repozytorium; publiczny fork Cal.diy (MIT) bez funkcji zespołowych.</t>
  </si>
  <si>
    <t xml:space="preserve">Otwarty silnik rezerwacji z rynku osłabiony.</t>
  </si>
  <si>
    <t xml:space="preserve">Własny silnik terminów (gotowy w aplikacji) jako rdzeń.</t>
  </si>
  <si>
    <t xml:space="preserve">Z46</t>
  </si>
  <si>
    <t xml:space="preserve">23.06.2026</t>
  </si>
  <si>
    <t xml:space="preserve">Mistral OCR 4: wyjście ustrukturyzowane (bloki, ramki, pewność), 4 USD/1 000 stron, wsadowo 2 USD.</t>
  </si>
  <si>
    <t xml:space="preserve">A2.1, A2.7, F3.3</t>
  </si>
  <si>
    <t xml:space="preserve">Europejska alternatywa dla Google Document AI.</t>
  </si>
  <si>
    <t xml:space="preserve">Mistral OCR 4 na MVP; Google jako zamiennik.</t>
  </si>
  <si>
    <t xml:space="preserve">Z03</t>
  </si>
  <si>
    <t xml:space="preserve">15.01.2026</t>
  </si>
  <si>
    <t xml:space="preserve">AWS European Sovereign Cloud dostępny (region Brandenburgia), oddzielony od pozostałych regionów AWS.</t>
  </si>
  <si>
    <t xml:space="preserve">Ścieżka suwerenności bez zmiany dostawcy.</t>
  </si>
  <si>
    <t xml:space="preserve">Opcja na FINAL dla klientów publicznych.</t>
  </si>
  <si>
    <t xml:space="preserve">Z29</t>
  </si>
  <si>
    <t xml:space="preserve">05.01.2026</t>
  </si>
  <si>
    <t xml:space="preserve">Open Wearables (Momentum): otwarte API (MIT) dla 200+ urządzeń, do uruchomienia u siebie.</t>
  </si>
  <si>
    <t xml:space="preserve">F2.14, A1.9</t>
  </si>
  <si>
    <t xml:space="preserve">Darmowa warstwa agregacji bez uzależnienia.</t>
  </si>
  <si>
    <t xml:space="preserve">Open Wearables na MVP; Thryve przy skali.</t>
  </si>
  <si>
    <t xml:space="preserve">Z21</t>
  </si>
  <si>
    <t xml:space="preserve">01.2026</t>
  </si>
  <si>
    <t xml:space="preserve">ClickHouse przejął Langfuse; licencja MIT i wersja do uruchomienia u siebie bez zmian.</t>
  </si>
  <si>
    <t xml:space="preserve">Stabilniejsze finansowanie projektu.</t>
  </si>
  <si>
    <t xml:space="preserve">Langfuse jako nadzór nad AI.</t>
  </si>
  <si>
    <t xml:space="preserve">Z32</t>
  </si>
  <si>
    <t xml:space="preserve">08.2025</t>
  </si>
  <si>
    <t xml:space="preserve">Główni opiekunowie Open Policy Agent przeszli do Apple; OPA pozostaje projektem CNCF (graduated).</t>
  </si>
  <si>
    <t xml:space="preserve">A24.4, A18.11</t>
  </si>
  <si>
    <t xml:space="preserve">Niepewność rozwoju komercyjnego wokół OPA.</t>
  </si>
  <si>
    <t xml:space="preserve">OpenFGA (CNCF incubating od 10.2025) dla relacji; OPA tylko dla polityk.</t>
  </si>
  <si>
    <t xml:space="preserve">Z39, Z40</t>
  </si>
  <si>
    <t xml:space="preserve">2025</t>
  </si>
  <si>
    <t xml:space="preserve">Zitadel zmienił licencję z Apache 2.0 na AGPL-3.0 (od v3).</t>
  </si>
  <si>
    <t xml:space="preserve">F1.x</t>
  </si>
  <si>
    <t xml:space="preserve">Ryzyko licencyjne przy modyfikacjach.</t>
  </si>
  <si>
    <t xml:space="preserve">Keycloak (Apache 2.0).</t>
  </si>
  <si>
    <t xml:space="preserve">Z17</t>
  </si>
  <si>
    <t xml:space="preserve">Infermedica uzyskała certyfikat MDR klasy IIb; cennik na zapytanie (wg rynku od kilkudziesięciu tys. EUR/rok).</t>
  </si>
  <si>
    <t xml:space="preserve">A12.4, A5.5</t>
  </si>
  <si>
    <t xml:space="preserve">Koszt nieproporcjonalny do MVP.</t>
  </si>
  <si>
    <t xml:space="preserve">Ankieta bez oceny na MVP; Infermedica od pierwszej płacącej placówki.</t>
  </si>
  <si>
    <t xml:space="preserve">Z11</t>
  </si>
  <si>
    <t xml:space="preserve">10.2026</t>
  </si>
  <si>
    <t xml:space="preserve">Corti (scribe/STT) — polski nie występuje na liście obsługiwanych języków; cena STT 0,0065 USD/min.</t>
  </si>
  <si>
    <t xml:space="preserve">W-24, W-23</t>
  </si>
  <si>
    <t xml:space="preserve">F3.19, A12.5</t>
  </si>
  <si>
    <t xml:space="preserve">★ z pliku nie działa po polsku.</t>
  </si>
  <si>
    <t xml:space="preserve">Przebieg własny na ElevenLabs Scribe (UE).</t>
  </si>
  <si>
    <t xml:space="preserve">Z08</t>
  </si>
  <si>
    <t xml:space="preserve">03.2026</t>
  </si>
  <si>
    <t xml:space="preserve">Badanie ASR dla polskiego (arXiv 2603.02246): ElevenLabs Scribe najlepszy, także na danych medycznych.</t>
  </si>
  <si>
    <t xml:space="preserve">Wybór silnika transkrypcji dla PL.</t>
  </si>
  <si>
    <t xml:space="preserve">ElevenLabs Scribe v2 w rezydencji UE.</t>
  </si>
  <si>
    <t xml:space="preserve">Z13, Z14</t>
  </si>
  <si>
    <t xml:space="preserve">21.07.2026</t>
  </si>
  <si>
    <t xml:space="preserve">Amazon SES: nowe plany pakietowe (Essentials/Pro/Enterprise); model a la carte 0,10 USD/1 000 nadal dostępny.</t>
  </si>
  <si>
    <t xml:space="preserve">Ryzyko wyższej ceny przy złym wyborze planu.</t>
  </si>
  <si>
    <t xml:space="preserve">Model a la carte.</t>
  </si>
  <si>
    <t xml:space="preserve">Z53</t>
  </si>
  <si>
    <t xml:space="preserve">2026</t>
  </si>
  <si>
    <t xml:space="preserve">DeepL: nowe konta API tylko w planie Growth (29,75 EUR/mies. za 1 mln znaków) — do potwierdzenia.</t>
  </si>
  <si>
    <t xml:space="preserve">Brak bezpłatnego planu dla nowych.</t>
  </si>
  <si>
    <t xml:space="preserve">DeepL Growth do szkiców; przegląd człowieka.</t>
  </si>
  <si>
    <t xml:space="preserve">Z36</t>
  </si>
  <si>
    <t xml:space="preserve">16.06.2026</t>
  </si>
  <si>
    <t xml:space="preserve">Discourse podniósł cenę planu Business do 500 USD/mies.</t>
  </si>
  <si>
    <t xml:space="preserve">Hosting droższy.</t>
  </si>
  <si>
    <t xml:space="preserve">Discourse na własnym serwerze.</t>
  </si>
  <si>
    <t xml:space="preserve">Z60</t>
  </si>
  <si>
    <t xml:space="preserve">Figma przejęła Payload; chmura Payload nie przyjmuje nowych klientów (licencja MIT bez zmian).</t>
  </si>
  <si>
    <t xml:space="preserve">Strapi na własnym serwerze.</t>
  </si>
  <si>
    <t xml:space="preserve">Z52</t>
  </si>
  <si>
    <t xml:space="preserve">30.06.2025</t>
  </si>
  <si>
    <t xml:space="preserve">GIOŚ wyłączył stare usługi API jakości powietrza (pjp-api); obowiązuje nowe API.</t>
  </si>
  <si>
    <t xml:space="preserve">Integracje na starym API przestały działać.</t>
  </si>
  <si>
    <t xml:space="preserve">Nowe API GIOŚ.</t>
  </si>
  <si>
    <t xml:space="preserve">Z34</t>
  </si>
  <si>
    <t xml:space="preserve">26.03.2027</t>
  </si>
  <si>
    <t xml:space="preserve">EHDS: rozporządzenie 2025/327 stosuje się od 26.03.2027; e-recepty i karta pacjenta od 26.03.2029; wyniki badań, obrazy, wypisy od 26.03.2031.</t>
  </si>
  <si>
    <t xml:space="preserve">W-07, W-28</t>
  </si>
  <si>
    <t xml:space="preserve">A2.6, A5.6</t>
  </si>
  <si>
    <t xml:space="preserve">Wymogi interoperacyjności dla systemów EHR (EEHRxF).</t>
  </si>
  <si>
    <t xml:space="preserve">Medplum + eksport FHIR; zgodność formatu od MLP.</t>
  </si>
  <si>
    <t xml:space="preserve">Z66</t>
  </si>
  <si>
    <t xml:space="preserve">12.2025</t>
  </si>
  <si>
    <t xml:space="preserve">Bielik 11B v3 (Apache 2.0) — polski model otwarty.</t>
  </si>
  <si>
    <t xml:space="preserve">Tańsza i suwerenna alternatywa do prostych zadań.</t>
  </si>
  <si>
    <t xml:space="preserve">Bielik u siebie od MLP.</t>
  </si>
  <si>
    <t xml:space="preserve">Z31</t>
  </si>
  <si>
    <t xml:space="preserve">Medplum hostowany: Production 2 000 USD/mies., Premium 6 000 USD/mies.; region UE niepotwierdzony.</t>
  </si>
  <si>
    <t xml:space="preserve">A2.5, D1.1</t>
  </si>
  <si>
    <t xml:space="preserve">Hostowany Medplum drogi na MVP.</t>
  </si>
  <si>
    <t xml:space="preserve">Medplum na własnej infrastrukturze w UE.</t>
  </si>
  <si>
    <t xml:space="preserve">Z02</t>
  </si>
  <si>
    <t xml:space="preserve">plik 11.1</t>
  </si>
  <si>
    <t xml:space="preserve">Konflikt z zasadami stałymi: automatyczne sugestie suplementów partnera (Sundose) i odznaki NFT.</t>
  </si>
  <si>
    <t xml:space="preserve">W-49, W-99</t>
  </si>
  <si>
    <t xml:space="preserve">A7.3, A7.4, F15.15</t>
  </si>
  <si>
    <t xml:space="preserve">Sprzeczność z zasadami: bez sterowania zakupami, bez tokenów pieniężnych.</t>
  </si>
  <si>
    <t xml:space="preserve">Wyłączone z MVP do decyzji zarządu.</t>
  </si>
  <si>
    <t xml:space="preserve">W6 — ŹRÓDŁA I STAN SPRAWDZENIA</t>
  </si>
  <si>
    <t xml:space="preserve">Każde twierdzenie o cenie, licencji lub statusie w W1–W5 odsyła do identyfikatora Zxx. Źródła wtórne oznaczono — przed umową potwierdzić u dostawcy.</t>
  </si>
  <si>
    <t xml:space="preserve">Nie sprawdzono w sieci (blokada lub brak źródła): cennik SMSAPI.pl, cena ElevenLabs, oferta glukometrów Withings, licencja Z-Anatomy, warunki API mObywatel, termin EUDI Wallet, centrum danych HubSpot w UE.</t>
  </si>
  <si>
    <t xml:space="preserve">Adres</t>
  </si>
  <si>
    <t xml:space="preserve">Co potwierdza</t>
  </si>
  <si>
    <t xml:space="preserve">Data sprawdzenia</t>
  </si>
  <si>
    <t xml:space="preserve">Z01</t>
  </si>
  <si>
    <t xml:space="preserve">Amazon Cognito — cennik</t>
  </si>
  <si>
    <t xml:space="preserve">https://aws.amazon.com/cognito/pricing/</t>
  </si>
  <si>
    <t xml:space="preserve">Bezpłatnie do 10 000 aktywnych/mies. (Lite, Essentials); Essentials 0,015 USD za aktywnego &gt;10 tys.</t>
  </si>
  <si>
    <t xml:space="preserve">04.10.2026</t>
  </si>
  <si>
    <t xml:space="preserve">Medplum — cennik</t>
  </si>
  <si>
    <t xml:space="preserve">https://www.medplum.com/pricing</t>
  </si>
  <si>
    <t xml:space="preserve">Plany: Free, Production 2 000 USD/mies., Premium 6 000 USD/mies., Enterprise</t>
  </si>
  <si>
    <t xml:space="preserve">Mistral OCR 4 — premiera i cennik (Digital Applied, 25.06.2026)</t>
  </si>
  <si>
    <t xml:space="preserve">https://www.digitalapplied.com/blog/mistral-ocr-4-document-ai-business-automation-2026</t>
  </si>
  <si>
    <t xml:space="preserve">4 USD/1 000 stron, wsadowo 2 USD, Document AI 5 USD; premiera 23.06.2026</t>
  </si>
  <si>
    <t xml:space="preserve">Z04</t>
  </si>
  <si>
    <t xml:space="preserve">Mistral — Voxtral Transcribe 2</t>
  </si>
  <si>
    <t xml:space="preserve">https://mistral.ai/news/voxtral-transcribe-2</t>
  </si>
  <si>
    <t xml:space="preserve">0,003 / 0,006 USD/min; lista 13 języków bez polskiego</t>
  </si>
  <si>
    <t xml:space="preserve">Z05</t>
  </si>
  <si>
    <t xml:space="preserve">AWS — cross-region inference dla przetwarzania w UE</t>
  </si>
  <si>
    <t xml:space="preserve">https://aws.amazon.com/blogs/alps/unlocking-ai-flexibility-in-switzerland-a-guide-to-cross-region-inference-for-eu-data-processing-and-model-access</t>
  </si>
  <si>
    <t xml:space="preserve">Profile eu.* utrzymują przetwarzanie w regionach UE</t>
  </si>
  <si>
    <t xml:space="preserve">Z06</t>
  </si>
  <si>
    <t xml:space="preserve">OpenEvidence wycofuje się z UE i UK</t>
  </si>
  <si>
    <t xml:space="preserve">https://letsdatascience.com/news/openevidence-withdraws-ai-medical-app-from-eu-uk-1447fca2</t>
  </si>
  <si>
    <t xml:space="preserve">Wycofanie 28.04.2026, powód: niepewność regulacyjna (AI Act)</t>
  </si>
  <si>
    <t xml:space="preserve">Z07</t>
  </si>
  <si>
    <t xml:space="preserve">DR.INFO vs OpenEvidence (iatroX, 2026)</t>
  </si>
  <si>
    <t xml:space="preserve">https://www.iatrox.com/compare/dr-info-vs-openevidence</t>
  </si>
  <si>
    <t xml:space="preserve">DR.INFO: CE (MDR), hosting UE, API, Pro 9,92 EUR/mies.; klasa I wg recenzji iatroX</t>
  </si>
  <si>
    <t xml:space="preserve">Corti — języki i cennik</t>
  </si>
  <si>
    <t xml:space="preserve">https://docs.corti.ai/about/languages</t>
  </si>
  <si>
    <t xml:space="preserve">Brak polskiego na liście; STT 0,0065 USD/min (corti.ai/pricing)</t>
  </si>
  <si>
    <t xml:space="preserve">AI Omnibus w mocy (Mondaq)</t>
  </si>
  <si>
    <t xml:space="preserve">https://www.mondaq.com/eu-digital-omnibus-on-ai-enters-into-force/1825722</t>
  </si>
  <si>
    <t xml:space="preserve">Rozp. 2026/1744: w mocy 27.07.2026; terminy 2.12.2027, 2.08.2028, 2.12.2026</t>
  </si>
  <si>
    <t xml:space="preserve">Z10</t>
  </si>
  <si>
    <t xml:space="preserve">Labplus — profil (Dealroom)</t>
  </si>
  <si>
    <t xml:space="preserve">https://app.dealroom.co/companies/labplus</t>
  </si>
  <si>
    <t xml:space="preserve">CE od 2023; 12 sieci laboratoriów; ok. 50% rynku badań w PL</t>
  </si>
  <si>
    <t xml:space="preserve">Infermedica — podsumowanie 2025</t>
  </si>
  <si>
    <t xml:space="preserve">https://infermedica.com/blog/articles/infermedica-2025-a-year-in-review</t>
  </si>
  <si>
    <t xml:space="preserve">Certyfikat MDR klasy IIb (2025); cennik na zapytanie</t>
  </si>
  <si>
    <t xml:space="preserve">Aqua Security — atak na łańcuch dostaw Trivy</t>
  </si>
  <si>
    <t xml:space="preserve">https://www.aquasec.com/blog/trivy-supply-chain-attack-what-you-need-to-know</t>
  </si>
  <si>
    <t xml:space="preserve">19.03.2026: złośliwy kod w trivy, trivy-action, setup-trivy</t>
  </si>
  <si>
    <t xml:space="preserve">Z13</t>
  </si>
  <si>
    <t xml:space="preserve">Quality of ASR — Polish case study (arXiv 2603.02246)</t>
  </si>
  <si>
    <t xml:space="preserve">https://arxiv.org/abs/2603.02246</t>
  </si>
  <si>
    <t xml:space="preserve">ElevenLabs Scribe najlepszy dla polskiego, także na danych medycznych</t>
  </si>
  <si>
    <t xml:space="preserve">Z14</t>
  </si>
  <si>
    <t xml:space="preserve">ElevenLabs — Scribe v2 / API mowy na tekst</t>
  </si>
  <si>
    <t xml:space="preserve">https://elevenlabs.io/realtime-speech-to-text-api</t>
  </si>
  <si>
    <t xml:space="preserve">Rezydencja UE, tryb bez przechowywania; HIPAA w planie Enterprise</t>
  </si>
  <si>
    <t xml:space="preserve">Z15</t>
  </si>
  <si>
    <t xml:space="preserve">Microsoft Q&amp;A — gpt-4o-transcribe w strefie danych UE</t>
  </si>
  <si>
    <t xml:space="preserve">https://learn.microsoft.com/en-us/answers/questions/2259083/gpt-4o-transcribe-availability-within-eu-data-zone</t>
  </si>
  <si>
    <t xml:space="preserve">Modele transkrypcji dostępne tylko jako global standard</t>
  </si>
  <si>
    <t xml:space="preserve">Z16</t>
  </si>
  <si>
    <t xml:space="preserve">Google Document AI — cennik</t>
  </si>
  <si>
    <t xml:space="preserve">https://cloud.google.com/document-ai/pricing</t>
  </si>
  <si>
    <t xml:space="preserve">Enterprise OCR 1,5 USD/1 000 stron (do 5 mln), regiony UE</t>
  </si>
  <si>
    <t xml:space="preserve">Zitadel — licencjonowanie (FAQ)</t>
  </si>
  <si>
    <t xml:space="preserve">https://zitadel.com/license-faq</t>
  </si>
  <si>
    <t xml:space="preserve">AGPL-3.0 od v3; licencja komercyjna; chmura Free/Pro</t>
  </si>
  <si>
    <t xml:space="preserve">Z18</t>
  </si>
  <si>
    <t xml:space="preserve">mObywatel a sprawdzanie tożsamości (Poradnik Przedsiębiorcy)</t>
  </si>
  <si>
    <t xml:space="preserve">https://poradnikprzedsiebiorcy.pl/-mobywatel-a-sprawdzanie-tozsamosci</t>
  </si>
  <si>
    <t xml:space="preserve">Weryfikacja mDowodu przez firmy; API mObywatel (kody 6-cyfrowe) — wg dokumentów gov.pl</t>
  </si>
  <si>
    <t xml:space="preserve">Z19</t>
  </si>
  <si>
    <t xml:space="preserve">Docplanner Integrations — przewodnik</t>
  </si>
  <si>
    <t xml:space="preserve">https://integrations.docplanner.com/guide/</t>
  </si>
  <si>
    <t xml:space="preserve">OAuth2 REST: placówki, lekarze, kalendarze, sloty, rezerwacje, powiadomienia</t>
  </si>
  <si>
    <t xml:space="preserve">Z20</t>
  </si>
  <si>
    <t xml:space="preserve">LiveKit — cennik 2026 (TRTC, źródło wtórne)</t>
  </si>
  <si>
    <t xml:space="preserve">https://trtc.io/blog/details/livekit-pricing-2026</t>
  </si>
  <si>
    <t xml:space="preserve">Build 0 USD (5 000 min), Ship 50, Scale 500; serwer Apache 2.0</t>
  </si>
  <si>
    <t xml:space="preserve">Momentum — Open Wearables</t>
  </si>
  <si>
    <t xml:space="preserve">https://www.themomentum.ai/blog/introducing-open-wearables-the-open-source-api-for-wearable-health-intelligence</t>
  </si>
  <si>
    <t xml:space="preserve">MIT, 200+ urządzeń, premiera 5.01.2026</t>
  </si>
  <si>
    <t xml:space="preserve">Z22</t>
  </si>
  <si>
    <t xml:space="preserve">Thryve — cennik</t>
  </si>
  <si>
    <t xml:space="preserve">https://www.thryve.health/pricing</t>
  </si>
  <si>
    <t xml:space="preserve">Startup od 499 EUR/mies. (500 użytk.), 0,50 EUR za kolejnego</t>
  </si>
  <si>
    <t xml:space="preserve">Z23</t>
  </si>
  <si>
    <t xml:space="preserve">Terra — cennik</t>
  </si>
  <si>
    <t xml:space="preserve">https://tryterra.co/pricing</t>
  </si>
  <si>
    <t xml:space="preserve">100 tys. kredytów/mies. gratis; 0,005 USD/kredyt; 200 kredytów/użytkownika/mies.</t>
  </si>
  <si>
    <t xml:space="preserve">Z24</t>
  </si>
  <si>
    <t xml:space="preserve">Sahha — porównanie z Thryve (strona dostawcy)</t>
  </si>
  <si>
    <t xml:space="preserve">https://sahha.ai/compare/thryve-alternatives/</t>
  </si>
  <si>
    <t xml:space="preserve">Plan bezpłatny; 299 USD/mies. za 1 000 użytkowników</t>
  </si>
  <si>
    <t xml:space="preserve">Z25</t>
  </si>
  <si>
    <t xml:space="preserve">Withings — plany API</t>
  </si>
  <si>
    <t xml:space="preserve">https://developer.withings.com/developer-guide/v3/withings-solutions/withings-api-plans/</t>
  </si>
  <si>
    <t xml:space="preserve">Standard: 5 000 aktywnych, 120 zapytań/min; Enterprise bez limitu</t>
  </si>
  <si>
    <t xml:space="preserve">Terra — zmiany API Strava 2026; Sahha — ograniczenia AI w API zdrowia</t>
  </si>
  <si>
    <t xml:space="preserve">https://tryterra.co/blog/strava-api-changes-2026</t>
  </si>
  <si>
    <t xml:space="preserve">Zakaz AI/RAG, wyświetlanie tylko właścicielowi, subskrypcja od 06.2026, brak pośredników (także https://sahha.ai/blog/health-api-ai-restrictions/)</t>
  </si>
  <si>
    <t xml:space="preserve">Z27</t>
  </si>
  <si>
    <t xml:space="preserve">Nestmedic — certyfikacja Pregnabit Pro (Biznesradar)</t>
  </si>
  <si>
    <t xml:space="preserve">https://www.biznesradar.pl/a/103714,nestmedic-rozpoczyna-proces-certyfikacji-pregnabit-pro-jako-wyrobu-medycznego</t>
  </si>
  <si>
    <t xml:space="preserve">Spółka działa; badania kliniczne i ścieżka FDA w 2026</t>
  </si>
  <si>
    <t xml:space="preserve">Z28</t>
  </si>
  <si>
    <t xml:space="preserve">OVHcloud — cennik SMS (PL)</t>
  </si>
  <si>
    <t xml:space="preserve">https://www.ovhcloud.com/pl/sms/prices/</t>
  </si>
  <si>
    <t xml:space="preserve">0,135 zł (200 SMS) do 0,109 zł netto za SMS</t>
  </si>
  <si>
    <t xml:space="preserve">AWS European Sovereign Cloud — komunikat</t>
  </si>
  <si>
    <t xml:space="preserve">https://press.aboutamazon.com/aws/2026/1/aws-launches-aws-european-sovereign-cloud-and-announces-expansion-across-europe</t>
  </si>
  <si>
    <t xml:space="preserve">Dostępność 15.01.2026, region Brandenburgia</t>
  </si>
  <si>
    <t xml:space="preserve">Z30</t>
  </si>
  <si>
    <t xml:space="preserve">Novu — licencja i cennik (EveryDev, źródło wtórne)</t>
  </si>
  <si>
    <t xml:space="preserve">https://www.everydev.ai/tools/novu</t>
  </si>
  <si>
    <t xml:space="preserve">MIT; chmura 10 tys. przebiegów gratis; Pro 30 USD</t>
  </si>
  <si>
    <t xml:space="preserve">Bielik 11B v3 — raport techniczny</t>
  </si>
  <si>
    <t xml:space="preserve">https://arxiv.org/abs/2601.11579</t>
  </si>
  <si>
    <t xml:space="preserve">Model polski, Apache 2.0</t>
  </si>
  <si>
    <t xml:space="preserve">Langfuse dołącza do ClickHouse</t>
  </si>
  <si>
    <t xml:space="preserve">https://langfuse.com/blog/joining-clickhouse</t>
  </si>
  <si>
    <t xml:space="preserve">Licencja MIT i wersja do uruchomienia u siebie bez zmian</t>
  </si>
  <si>
    <t xml:space="preserve">Z33</t>
  </si>
  <si>
    <t xml:space="preserve">gabinet.gov.pl (Gazeta Prawna)</t>
  </si>
  <si>
    <t xml:space="preserve">https://www.gazetaprawna.pl/biznes/zdrowie/artykuly/11160349,wystawianie-eskierowan-jest-proste.html</t>
  </si>
  <si>
    <t xml:space="preserve">Bezpłatna aplikacja dla lekarzy (e-recepta, e-skierowanie)</t>
  </si>
  <si>
    <t xml:space="preserve">GIOŚ — zmiany w usługach API</t>
  </si>
  <si>
    <t xml:space="preserve">https://www.gov.pl/web/gios/korzystasz-z-danych-gios-o-jakosci-powietrza-za-posrednictwem-uslug-api-sprawdz-wazne-zmiany</t>
  </si>
  <si>
    <t xml:space="preserve">Stare usługi działały do 30.06.2025</t>
  </si>
  <si>
    <t xml:space="preserve">Z35</t>
  </si>
  <si>
    <t xml:space="preserve">Open-Meteo — cennik</t>
  </si>
  <si>
    <t xml:space="preserve">https://open-meteo.com/en/pricing</t>
  </si>
  <si>
    <t xml:space="preserve">Bezpłatnie niekomercyjnie; Standard 29 USD, Professional 99 USD</t>
  </si>
  <si>
    <t xml:space="preserve">Koszty tłumaczenia maszynowego 2026 (SimpleLocalize, źródło wtórne)</t>
  </si>
  <si>
    <t xml:space="preserve">https://simplelocalize.io/blog/posts/ai-machine-translation-cost-comparison/</t>
  </si>
  <si>
    <t xml:space="preserve">DeepL Growth 29,75 EUR/mies.; plany Free/Pro zamknięte dla nowych (do potwierdzenia u DeepL)</t>
  </si>
  <si>
    <t xml:space="preserve">Z37</t>
  </si>
  <si>
    <t xml:space="preserve">SiDLY Care (ScanBalt)</t>
  </si>
  <si>
    <t xml:space="preserve">https://scanbalt.org/scanbalt-business-club/sidly-care-first-device-telemedicine-offering-advantages-ehealth-ecare-combined/</t>
  </si>
  <si>
    <t xml:space="preserve">Opaska — wyrób klasy IIa, upadki, SOS, przypomnienia o lekach</t>
  </si>
  <si>
    <t xml:space="preserve">Z38</t>
  </si>
  <si>
    <t xml:space="preserve">Comarch e-Care — ulotka</t>
  </si>
  <si>
    <t xml:space="preserve">https://www.comarch.pl/files-pl/file_953/Leaflet_eCare.pdf</t>
  </si>
  <si>
    <t xml:space="preserve">e-Care 2.0 z integracją Opaski Życia</t>
  </si>
  <si>
    <t xml:space="preserve">14.10.2026</t>
  </si>
  <si>
    <t xml:space="preserve">Z39</t>
  </si>
  <si>
    <t xml:space="preserve">OPA — list opiekunów do społeczności</t>
  </si>
  <si>
    <t xml:space="preserve">https://openpolicyagent.org/blog/note-from-teemu-tim-and-torin-to-the-open-policy-agent-community-2dbbfe494371</t>
  </si>
  <si>
    <t xml:space="preserve">Opiekunowie w Apple; OPA w CNCF bez zmian licencji</t>
  </si>
  <si>
    <t xml:space="preserve">Z40</t>
  </si>
  <si>
    <t xml:space="preserve">CNCF — OpenFGA projektem incubating</t>
  </si>
  <si>
    <t xml:space="preserve">https://www.cncf.io/blog/2025/11/11/openfga-becomes-a-cncf-incubating-project/</t>
  </si>
  <si>
    <t xml:space="preserve">Incubating od 28.10.2025</t>
  </si>
  <si>
    <t xml:space="preserve">Terra — wstrzymanie programu Garmin</t>
  </si>
  <si>
    <t xml:space="preserve">https://tryterra.co/blog/garmin-connect-developer-program-pause</t>
  </si>
  <si>
    <t xml:space="preserve">Nowe wnioski wstrzymane; istniejący partnerzy działają</t>
  </si>
  <si>
    <t xml:space="preserve">Z42</t>
  </si>
  <si>
    <t xml:space="preserve">Polar — Open AccessLink</t>
  </si>
  <si>
    <t xml:space="preserve">https://www.polar.com/blog/introducing-polar-open-accesslink-api/</t>
  </si>
  <si>
    <t xml:space="preserve">Bezpłatne API do odczytu danych Polar Flow</t>
  </si>
  <si>
    <t xml:space="preserve">Z43</t>
  </si>
  <si>
    <t xml:space="preserve">MedApp — współpraca z Diagnostyką (Comparic)</t>
  </si>
  <si>
    <t xml:space="preserve">https://comparic.pl/medapp-rozpoczyna-wspolprace-z-ogolnopolska-siecia-laboratoriow-medycznych-diagnostyka/</t>
  </si>
  <si>
    <t xml:space="preserve">Pobieranie wyników Diagnostyki przez platformę partnera</t>
  </si>
  <si>
    <t xml:space="preserve">Z44</t>
  </si>
  <si>
    <t xml:space="preserve">Aidbox — licencjonowanie</t>
  </si>
  <si>
    <t xml:space="preserve">https://www.health-samurai.io/docs/aidbox/overview/licensing-and-support.md</t>
  </si>
  <si>
    <t xml:space="preserve">Licencja deweloperska bezpłatna; produkcyjna płatna (od ok. 600 USD wg Capterra)</t>
  </si>
  <si>
    <t xml:space="preserve">Z45</t>
  </si>
  <si>
    <t xml:space="preserve">Smile CDR 2026.08 / HAPI FHIR 8.12</t>
  </si>
  <si>
    <t xml:space="preserve">https://www.smiledigitalhealth.com/events/smile-cdr-2026-08-r01-evolution-webinar</t>
  </si>
  <si>
    <t xml:space="preserve">HAPI FHIR rozwijany (8.10 w 05.2026, 8.12 w 08.2026)</t>
  </si>
  <si>
    <t xml:space="preserve">Cal.com 2026 — Cal.diy (źródło wtórne)</t>
  </si>
  <si>
    <t xml:space="preserve">https://lucaberton.com/blog/cal-com-open-source-scheduling-self-hosted-2026/</t>
  </si>
  <si>
    <t xml:space="preserve">15.04.2026: kod produkcyjny prywatny; publiczny fork MIT</t>
  </si>
  <si>
    <t xml:space="preserve">Z47</t>
  </si>
  <si>
    <t xml:space="preserve">Cronofy — cennik Scheduler</t>
  </si>
  <si>
    <t xml:space="preserve">https://docs.cronofy.com/scheduler/scheduler-faqs/pricing/index.md</t>
  </si>
  <si>
    <t xml:space="preserve">Team 15 USD/stanowisko; Business 799 USD/mies.</t>
  </si>
  <si>
    <t xml:space="preserve">Z48</t>
  </si>
  <si>
    <t xml:space="preserve">Physitrack — Capterra</t>
  </si>
  <si>
    <t xml:space="preserve">https://www.capterra.com/p/10040456/Physitrack/</t>
  </si>
  <si>
    <t xml:space="preserve">Od 17,99 GBP / 23,99 USD za użytkownika/mies.; 18 000+ filmów</t>
  </si>
  <si>
    <t xml:space="preserve">Z49</t>
  </si>
  <si>
    <t xml:space="preserve">Telemedi — profil</t>
  </si>
  <si>
    <t xml:space="preserve">https://my.motherbase.ai/startup/143472-telemedi-assistance-digital-health-platform</t>
  </si>
  <si>
    <t xml:space="preserve">White-label B2B; AXA, Allianz, Generali, PZU</t>
  </si>
  <si>
    <t xml:space="preserve">Z50</t>
  </si>
  <si>
    <t xml:space="preserve">Alternatywy LaunchDarkly (ConfigCat, źródło wtórne)</t>
  </si>
  <si>
    <t xml:space="preserve">https://configcat.com/blog/top-launchdarkly-alternatives/</t>
  </si>
  <si>
    <t xml:space="preserve">Unleash Apache 2.0, Pro 80 USD; Flagsmith BSD-3</t>
  </si>
  <si>
    <t xml:space="preserve">Z51</t>
  </si>
  <si>
    <t xml:space="preserve">Strapi — cennik 2026 (DEV)</t>
  </si>
  <si>
    <t xml:space="preserve">https://dev.to/nayankyada/strapi-pricing-2026-community-edition-cloud-tiers-and-real-infra-costs-184i</t>
  </si>
  <si>
    <t xml:space="preserve">Community MIT; Cloud 35/90/450 USD</t>
  </si>
  <si>
    <t xml:space="preserve">Figma przejmuje Payload (CMSWire)</t>
  </si>
  <si>
    <t xml:space="preserve">https://www.cmswire.com/digital-experience/when-cms-meets-ux-design-what-figmas-payload-deal-really-means</t>
  </si>
  <si>
    <t xml:space="preserve">MIT bez zmian; Payload Cloud bez nowych klientów</t>
  </si>
  <si>
    <t xml:space="preserve">Amazon SES — plany 2026 (DEV)</t>
  </si>
  <si>
    <t xml:space="preserve">https://dev.to/mr_manushukla/amazon-ses-pricing-plans-in-2026-essentials-vs-pro-vs-enterprise-and-when-a-la-carte-still-wins</t>
  </si>
  <si>
    <t xml:space="preserve">A la carte 0,10 USD/1 000; plany od 21.07.2026</t>
  </si>
  <si>
    <t xml:space="preserve">Z54</t>
  </si>
  <si>
    <t xml:space="preserve">Brevo — European Alternatives</t>
  </si>
  <si>
    <t xml:space="preserve">https://european-alternatives.eu/product/brevo</t>
  </si>
  <si>
    <t xml:space="preserve">Dostawca z UE; dane w UE domyślnie</t>
  </si>
  <si>
    <t xml:space="preserve">Z55</t>
  </si>
  <si>
    <t xml:space="preserve">Expo — plany (PricingSaaS)</t>
  </si>
  <si>
    <t xml:space="preserve">https://pricingsaas.com/companies/expo</t>
  </si>
  <si>
    <t xml:space="preserve">Free, Starter 19, Production 199 USD/mies.</t>
  </si>
  <si>
    <t xml:space="preserve">Z56</t>
  </si>
  <si>
    <t xml:space="preserve">react-native-health-connect / Open Wearables SDK RN</t>
  </si>
  <si>
    <t xml:space="preserve">https://github.com/matinzd/react-native-health-connect/wiki</t>
  </si>
  <si>
    <t xml:space="preserve">Biblioteki Health Connect/HealthKit dla React Native (MIT)</t>
  </si>
  <si>
    <t xml:space="preserve">Z57</t>
  </si>
  <si>
    <t xml:space="preserve">FatSecret Platform — edycje API</t>
  </si>
  <si>
    <t xml:space="preserve">https://platform.fatsecret.com/api-editions</t>
  </si>
  <si>
    <t xml:space="preserve">Basic (USA), Premier Free (USA, startupy), Premier (56+ krajów)</t>
  </si>
  <si>
    <t xml:space="preserve">Z58</t>
  </si>
  <si>
    <t xml:space="preserve">Edamam — plany (APIs.io, źródło wtórne)</t>
  </si>
  <si>
    <t xml:space="preserve">https://apis.io/plans/edamam/edamam-plans-pricing/</t>
  </si>
  <si>
    <t xml:space="preserve">14 / 69 / 299 USD/mies.</t>
  </si>
  <si>
    <t xml:space="preserve">Z59</t>
  </si>
  <si>
    <t xml:space="preserve">Open Food Facts — dokumentacja API</t>
  </si>
  <si>
    <t xml:space="preserve">https://openfoodfacts.github.io/documentation/docs/Product-Opener/api/</t>
  </si>
  <si>
    <t xml:space="preserve">ODbL; 15 odczytów i 10 wyszukiwań/min na IP</t>
  </si>
  <si>
    <t xml:space="preserve">Discourse — zmiana cen 06.2026 (Costbench)</t>
  </si>
  <si>
    <t xml:space="preserve">https://costbench.com/changelog/discourse-price-increase-2026-06/</t>
  </si>
  <si>
    <t xml:space="preserve">Business 500 USD/mies. od 16.06.2026</t>
  </si>
  <si>
    <t xml:space="preserve">Z61</t>
  </si>
  <si>
    <t xml:space="preserve">Zammad — nowe taryfy (Zammad 7.0)</t>
  </si>
  <si>
    <t xml:space="preserve">https://support.zammad.com/help/en-us/32-sales-accounting/781-preview-zammad-7-0-new-tariffs</t>
  </si>
  <si>
    <t xml:space="preserve">Starter 7 EUR, Professional 16 EUR, Plus 25 EUR za agenta/mies.</t>
  </si>
  <si>
    <t xml:space="preserve">Z62</t>
  </si>
  <si>
    <t xml:space="preserve">ClickMeeting — Capterra</t>
  </si>
  <si>
    <t xml:space="preserve">https://www.capterra.com/p/157063/ClickMeeting/</t>
  </si>
  <si>
    <t xml:space="preserve">Live 32 USD, Automated 48 USD/mies.</t>
  </si>
  <si>
    <t xml:space="preserve">Z63</t>
  </si>
  <si>
    <t xml:space="preserve">Evondos — wejście do UK (04.2026)</t>
  </si>
  <si>
    <t xml:space="preserve">https://international-pharma.com/evondos-group-launches-in-uk-delivering-impressive-1-46m-annualised-savings-in-medway-with-partner-kyndi/</t>
  </si>
  <si>
    <t xml:space="preserve">Spółka działa; 100 mln wydanych dawek</t>
  </si>
  <si>
    <t xml:space="preserve">Z64</t>
  </si>
  <si>
    <t xml:space="preserve">Cennik Claude API 2026 (MorphLLM, źródło wtórne)</t>
  </si>
  <si>
    <t xml:space="preserve">https://www.morphllm.com/anthropic-claude-api-pricing</t>
  </si>
  <si>
    <t xml:space="preserve">Haiku 4.5: 1/5 USD; Sonnet 4.6: 3/15 USD za 1 mln tokenów</t>
  </si>
  <si>
    <t xml:space="preserve">Z65</t>
  </si>
  <si>
    <t xml:space="preserve">Mistral Medium 3.5 — cena (PricePerToken)</t>
  </si>
  <si>
    <t xml:space="preserve">https://pricepertoken.com/pricing-page/model/mistral-ai-mistral-medium-3.5</t>
  </si>
  <si>
    <t xml:space="preserve">1,5 / 7,5 USD za 1 mln tokenów</t>
  </si>
  <si>
    <t xml:space="preserve">Komisja Europejska — rozporządzenie EHDS</t>
  </si>
  <si>
    <t xml:space="preserve">https://health.ec.europa.eu/ehealth-digital-health-and-care/european-health-data-space-regulation-ehds_nl</t>
  </si>
  <si>
    <t xml:space="preserve">Stosowanie od 26.03.2027; kolejne etapy 2029 i 2031</t>
  </si>
  <si>
    <t xml:space="preserve">Z67</t>
  </si>
  <si>
    <t xml:space="preserve">Authologic — ekspansja (ITwiz); P24 + Authologic (Telepolis)</t>
  </si>
  <si>
    <t xml:space="preserve">https://itwiz.pl/authologic-rozszerza-dzialalnosc-na-siedmiu-europejskich-rynkach/</t>
  </si>
  <si>
    <t xml:space="preserve">Jedno API: bank, e-dowód, biometria; przelew/BLIK z Przelewy24; cena na zapytanie</t>
  </si>
  <si>
    <t xml:space="preserve">Z68</t>
  </si>
  <si>
    <t xml:space="preserve">Soniox — polski STT (strona dostawcy)</t>
  </si>
  <si>
    <t xml:space="preserve">https://soniox.com/speech-to-text/polish</t>
  </si>
  <si>
    <t xml:space="preserve">Deklarowany WER 6% dla polskiego (dane dostawcy)</t>
  </si>
  <si>
    <t xml:space="preserve">Z69</t>
  </si>
  <si>
    <t xml:space="preserve">CeZ — usługi biznesowe P1</t>
  </si>
  <si>
    <t xml:space="preserve">https://www.cez.gov.pl/fileadmin/user_upload/uslugi_biznesowe_projekt_p1_591ef42d93b64.pdf</t>
  </si>
  <si>
    <t xml:space="preserve">Integracja z P1: uprawnienia, dokumentacja, walidacja komunikatów</t>
  </si>
  <si>
    <t xml:space="preserve">Z70</t>
  </si>
  <si>
    <t xml:space="preserve">MyDr EDM — App Store</t>
  </si>
  <si>
    <t xml:space="preserve">https://apps.apple.com/us/app/mydr-edm/id1634185212</t>
  </si>
  <si>
    <t xml:space="preserve">Moduły aplikacji; publiczne API niepotwierdzone</t>
  </si>
  <si>
    <t xml:space="preserve">Z72</t>
  </si>
  <si>
    <t xml:space="preserve">Keycloak 26</t>
  </si>
  <si>
    <t xml:space="preserve">https://www.keycloak.org/2024/10/keycloak-2600-released.html</t>
  </si>
  <si>
    <t xml:space="preserve">Organizacje, trwałe sesje; projekt Apache 2.0</t>
  </si>
  <si>
    <t xml:space="preserve">Z75</t>
  </si>
  <si>
    <t xml:space="preserve">Comarch — Małopolski Tele-Anioł</t>
  </si>
  <si>
    <t xml:space="preserve">https://www.comarch.com/healthcare/resources/case-study-lesser-poland-tele-angel/</t>
  </si>
  <si>
    <t xml:space="preserve">Teleopieka dla 10 000 mieszkańców (projekt od 2018)</t>
  </si>
  <si>
    <t xml:space="preserve">PLIK</t>
  </si>
  <si>
    <t xml:space="preserve">ETERNAL_11_1_FUNKCJE.xlsx (arkusze Z1, Z3, Z4, Z7)</t>
  </si>
  <si>
    <t xml:space="preserve">plik użytkownika</t>
  </si>
  <si>
    <t xml:space="preserve">Funkcje MVP, ★ z pliku, koszty infrastruktury, wideo i SMS na etapach (Z4)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</si>
</sst>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#,##0;\(#,##0\);\-"/>
    <numFmt numFmtId="167" formatCode="0.00"/>
    <numFmt numFmtId="168" formatCode="0%;\(0%\);\-"/>
    <numFmt numFmtId="169" formatCode="0.0000"/>
    <numFmt numFmtId="170" formatCode="#,##0"/>
    <numFmt numFmtId="171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6F78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8F1F2"/>
        <bgColor rgb="FFEEF4FA"/>
      </patternFill>
    </fill>
    <fill>
      <patternFill patternType="solid">
        <fgColor rgb="FFE2F0D9"/>
        <bgColor rgb="FFE8F1F2"/>
      </patternFill>
    </fill>
    <fill>
      <patternFill patternType="solid">
        <fgColor rgb="FFFFF2CC"/>
        <bgColor rgb="FFFFF9D6"/>
      </patternFill>
    </fill>
    <fill>
      <patternFill patternType="solid">
        <fgColor rgb="FFFCE4D6"/>
        <bgColor rgb="FFFFF2CC"/>
      </patternFill>
    </fill>
    <fill>
      <patternFill patternType="solid">
        <fgColor rgb="FFF4B183"/>
        <bgColor rgb="FFFF99CC"/>
      </patternFill>
    </fill>
    <fill>
      <patternFill patternType="solid">
        <fgColor rgb="FF0E6F78"/>
        <bgColor rgb="FF008080"/>
      </patternFill>
    </fill>
    <fill>
      <patternFill patternType="solid">
        <fgColor rgb="FF1F3A5F"/>
        <bgColor rgb="FF333399"/>
      </patternFill>
    </fill>
    <fill>
      <patternFill patternType="solid">
        <fgColor rgb="FFEEF4FA"/>
        <bgColor rgb="FFE8F1F2"/>
      </patternFill>
    </fill>
    <fill>
      <patternFill patternType="solid">
        <fgColor rgb="FFFFF9D6"/>
        <bgColor rgb="FFFFF2CC"/>
      </patternFill>
    </fill>
    <fill>
      <patternFill patternType="solid">
        <fgColor rgb="FFDDEBF7"/>
        <bgColor rgb="FFE8F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1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1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0" fontId="11" fillId="1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11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E6F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EEF4FA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B183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F78"/>
      <rgbColor rgb="FFBFBFBF"/>
      <rgbColor rgb="FF808080"/>
      <rgbColor rgb="FF9999FF"/>
      <rgbColor rgb="FF993366"/>
      <rgbColor rgb="FFFFF9D6"/>
      <rgbColor rgb="FFDDEBF7"/>
      <rgbColor rgb="FF660066"/>
      <rgbColor rgb="FFFF8080"/>
      <rgbColor rgb="FF0563C1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1F2"/>
      <rgbColor rgb="FFE2F0D9"/>
      <rgbColor rgb="FFFFF2CC"/>
      <rgbColor rgb="FFEEF4FA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aws.amazon.com/cognito/pricing/" TargetMode="External"/><Relationship Id="rId2" Type="http://schemas.openxmlformats.org/officeDocument/2006/relationships/hyperlink" Target="https://www.medplum.com/pricing" TargetMode="External"/><Relationship Id="rId3" Type="http://schemas.openxmlformats.org/officeDocument/2006/relationships/hyperlink" Target="https://www.digitalapplied.com/blog/mistral-ocr-4-document-ai-business-automation-2026" TargetMode="External"/><Relationship Id="rId4" Type="http://schemas.openxmlformats.org/officeDocument/2006/relationships/hyperlink" Target="https://mistral.ai/news/voxtral-transcribe-2" TargetMode="External"/><Relationship Id="rId5" Type="http://schemas.openxmlformats.org/officeDocument/2006/relationships/hyperlink" Target="https://aws.amazon.com/blogs/alps/unlocking-ai-flexibility-in-switzerland-a-guide-to-cross-region-inference-for-eu-data-processing-and-model-access" TargetMode="External"/><Relationship Id="rId6" Type="http://schemas.openxmlformats.org/officeDocument/2006/relationships/hyperlink" Target="https://letsdatascience.com/news/openevidence-withdraws-ai-medical-app-from-eu-uk-1447fca2" TargetMode="External"/><Relationship Id="rId7" Type="http://schemas.openxmlformats.org/officeDocument/2006/relationships/hyperlink" Target="https://www.iatrox.com/compare/dr-info-vs-openevidence" TargetMode="External"/><Relationship Id="rId8" Type="http://schemas.openxmlformats.org/officeDocument/2006/relationships/hyperlink" Target="https://docs.corti.ai/about/languages" TargetMode="External"/><Relationship Id="rId9" Type="http://schemas.openxmlformats.org/officeDocument/2006/relationships/hyperlink" Target="https://www.mondaq.com/eu-digital-omnibus-on-ai-enters-into-force/1825722" TargetMode="External"/><Relationship Id="rId10" Type="http://schemas.openxmlformats.org/officeDocument/2006/relationships/hyperlink" Target="https://app.dealroom.co/companies/labplus" TargetMode="External"/><Relationship Id="rId11" Type="http://schemas.openxmlformats.org/officeDocument/2006/relationships/hyperlink" Target="https://infermedica.com/blog/articles/infermedica-2025-a-year-in-review" TargetMode="External"/><Relationship Id="rId12" Type="http://schemas.openxmlformats.org/officeDocument/2006/relationships/hyperlink" Target="https://www.aquasec.com/blog/trivy-supply-chain-attack-what-you-need-to-know" TargetMode="External"/><Relationship Id="rId13" Type="http://schemas.openxmlformats.org/officeDocument/2006/relationships/hyperlink" Target="https://arxiv.org/abs/2603.02246" TargetMode="External"/><Relationship Id="rId14" Type="http://schemas.openxmlformats.org/officeDocument/2006/relationships/hyperlink" Target="https://elevenlabs.io/realtime-speech-to-text-api" TargetMode="External"/><Relationship Id="rId15" Type="http://schemas.openxmlformats.org/officeDocument/2006/relationships/hyperlink" Target="https://learn.microsoft.com/en-us/answers/questions/2259083/gpt-4o-transcribe-availability-within-eu-data-zone" TargetMode="External"/><Relationship Id="rId16" Type="http://schemas.openxmlformats.org/officeDocument/2006/relationships/hyperlink" Target="https://cloud.google.com/document-ai/pricing" TargetMode="External"/><Relationship Id="rId17" Type="http://schemas.openxmlformats.org/officeDocument/2006/relationships/hyperlink" Target="https://zitadel.com/license-faq" TargetMode="External"/><Relationship Id="rId18" Type="http://schemas.openxmlformats.org/officeDocument/2006/relationships/hyperlink" Target="https://poradnikprzedsiebiorcy.pl/-mobywatel-a-sprawdzanie-tozsamosci" TargetMode="External"/><Relationship Id="rId19" Type="http://schemas.openxmlformats.org/officeDocument/2006/relationships/hyperlink" Target="https://integrations.docplanner.com/guide/" TargetMode="External"/><Relationship Id="rId20" Type="http://schemas.openxmlformats.org/officeDocument/2006/relationships/hyperlink" Target="https://trtc.io/blog/details/livekit-pricing-2026" TargetMode="External"/><Relationship Id="rId21" Type="http://schemas.openxmlformats.org/officeDocument/2006/relationships/hyperlink" Target="https://www.themomentum.ai/blog/introducing-open-wearables-the-open-source-api-for-wearable-health-intelligence" TargetMode="External"/><Relationship Id="rId22" Type="http://schemas.openxmlformats.org/officeDocument/2006/relationships/hyperlink" Target="https://www.thryve.health/pricing" TargetMode="External"/><Relationship Id="rId23" Type="http://schemas.openxmlformats.org/officeDocument/2006/relationships/hyperlink" Target="https://tryterra.co/pricing" TargetMode="External"/><Relationship Id="rId24" Type="http://schemas.openxmlformats.org/officeDocument/2006/relationships/hyperlink" Target="https://sahha.ai/compare/thryve-alternatives/" TargetMode="External"/><Relationship Id="rId25" Type="http://schemas.openxmlformats.org/officeDocument/2006/relationships/hyperlink" Target="https://developer.withings.com/developer-guide/v3/withings-solutions/withings-api-plans/" TargetMode="External"/><Relationship Id="rId26" Type="http://schemas.openxmlformats.org/officeDocument/2006/relationships/hyperlink" Target="https://tryterra.co/blog/strava-api-changes-2026" TargetMode="External"/><Relationship Id="rId27" Type="http://schemas.openxmlformats.org/officeDocument/2006/relationships/hyperlink" Target="https://www.biznesradar.pl/a/103714,nestmedic-rozpoczyna-proces-certyfikacji-pregnabit-pro-jako-wyrobu-medycznego" TargetMode="External"/><Relationship Id="rId28" Type="http://schemas.openxmlformats.org/officeDocument/2006/relationships/hyperlink" Target="https://www.ovhcloud.com/pl/sms/prices/" TargetMode="External"/><Relationship Id="rId29" Type="http://schemas.openxmlformats.org/officeDocument/2006/relationships/hyperlink" Target="https://press.aboutamazon.com/aws/2026/1/aws-launches-aws-european-sovereign-cloud-and-announces-expansion-across-europe" TargetMode="External"/><Relationship Id="rId30" Type="http://schemas.openxmlformats.org/officeDocument/2006/relationships/hyperlink" Target="https://www.everydev.ai/tools/novu" TargetMode="External"/><Relationship Id="rId31" Type="http://schemas.openxmlformats.org/officeDocument/2006/relationships/hyperlink" Target="https://arxiv.org/abs/2601.11579" TargetMode="External"/><Relationship Id="rId32" Type="http://schemas.openxmlformats.org/officeDocument/2006/relationships/hyperlink" Target="https://langfuse.com/blog/joining-clickhouse" TargetMode="External"/><Relationship Id="rId33" Type="http://schemas.openxmlformats.org/officeDocument/2006/relationships/hyperlink" Target="https://www.gazetaprawna.pl/biznes/zdrowie/artykuly/11160349,wystawianie-eskierowan-jest-proste.html" TargetMode="External"/><Relationship Id="rId34" Type="http://schemas.openxmlformats.org/officeDocument/2006/relationships/hyperlink" Target="https://www.gov.pl/web/gios/korzystasz-z-danych-gios-o-jakosci-powietrza-za-posrednictwem-uslug-api-sprawdz-wazne-zmiany" TargetMode="External"/><Relationship Id="rId35" Type="http://schemas.openxmlformats.org/officeDocument/2006/relationships/hyperlink" Target="https://open-meteo.com/en/pricing" TargetMode="External"/><Relationship Id="rId36" Type="http://schemas.openxmlformats.org/officeDocument/2006/relationships/hyperlink" Target="https://simplelocalize.io/blog/posts/ai-machine-translation-cost-comparison/" TargetMode="External"/><Relationship Id="rId37" Type="http://schemas.openxmlformats.org/officeDocument/2006/relationships/hyperlink" Target="https://scanbalt.org/scanbalt-business-club/sidly-care-first-device-telemedicine-offering-advantages-ehealth-ecare-combined/" TargetMode="External"/><Relationship Id="rId38" Type="http://schemas.openxmlformats.org/officeDocument/2006/relationships/hyperlink" Target="https://www.comarch.pl/files-pl/file_953/Leaflet_eCare.pdf" TargetMode="External"/><Relationship Id="rId39" Type="http://schemas.openxmlformats.org/officeDocument/2006/relationships/hyperlink" Target="https://openpolicyagent.org/blog/note-from-teemu-tim-and-torin-to-the-open-policy-agent-community-2dbbfe494371" TargetMode="External"/><Relationship Id="rId40" Type="http://schemas.openxmlformats.org/officeDocument/2006/relationships/hyperlink" Target="https://www.cncf.io/blog/2025/11/11/openfga-becomes-a-cncf-incubating-project/" TargetMode="External"/><Relationship Id="rId41" Type="http://schemas.openxmlformats.org/officeDocument/2006/relationships/hyperlink" Target="https://tryterra.co/blog/garmin-connect-developer-program-pause" TargetMode="External"/><Relationship Id="rId42" Type="http://schemas.openxmlformats.org/officeDocument/2006/relationships/hyperlink" Target="https://www.polar.com/blog/introducing-polar-open-accesslink-api/" TargetMode="External"/><Relationship Id="rId43" Type="http://schemas.openxmlformats.org/officeDocument/2006/relationships/hyperlink" Target="https://comparic.pl/medapp-rozpoczyna-wspolprace-z-ogolnopolska-siecia-laboratoriow-medycznych-diagnostyka/" TargetMode="External"/><Relationship Id="rId44" Type="http://schemas.openxmlformats.org/officeDocument/2006/relationships/hyperlink" Target="https://www.health-samurai.io/docs/aidbox/overview/licensing-and-support.md" TargetMode="External"/><Relationship Id="rId45" Type="http://schemas.openxmlformats.org/officeDocument/2006/relationships/hyperlink" Target="https://www.smiledigitalhealth.com/events/smile-cdr-2026-08-r01-evolution-webinar" TargetMode="External"/><Relationship Id="rId46" Type="http://schemas.openxmlformats.org/officeDocument/2006/relationships/hyperlink" Target="https://lucaberton.com/blog/cal-com-open-source-scheduling-self-hosted-2026/" TargetMode="External"/><Relationship Id="rId47" Type="http://schemas.openxmlformats.org/officeDocument/2006/relationships/hyperlink" Target="https://docs.cronofy.com/scheduler/scheduler-faqs/pricing/index.md" TargetMode="External"/><Relationship Id="rId48" Type="http://schemas.openxmlformats.org/officeDocument/2006/relationships/hyperlink" Target="https://www.capterra.com/p/10040456/Physitrack/" TargetMode="External"/><Relationship Id="rId49" Type="http://schemas.openxmlformats.org/officeDocument/2006/relationships/hyperlink" Target="https://my.motherbase.ai/startup/143472-telemedi-assistance-digital-health-platform" TargetMode="External"/><Relationship Id="rId50" Type="http://schemas.openxmlformats.org/officeDocument/2006/relationships/hyperlink" Target="https://configcat.com/blog/top-launchdarkly-alternatives/" TargetMode="External"/><Relationship Id="rId51" Type="http://schemas.openxmlformats.org/officeDocument/2006/relationships/hyperlink" Target="https://dev.to/nayankyada/strapi-pricing-2026-community-edition-cloud-tiers-and-real-infra-costs-184i" TargetMode="External"/><Relationship Id="rId52" Type="http://schemas.openxmlformats.org/officeDocument/2006/relationships/hyperlink" Target="https://www.cmswire.com/digital-experience/when-cms-meets-ux-design-what-figmas-payload-deal-really-means" TargetMode="External"/><Relationship Id="rId53" Type="http://schemas.openxmlformats.org/officeDocument/2006/relationships/hyperlink" Target="https://dev.to/mr_manushukla/amazon-ses-pricing-plans-in-2026-essentials-vs-pro-vs-enterprise-and-when-a-la-carte-still-wins" TargetMode="External"/><Relationship Id="rId54" Type="http://schemas.openxmlformats.org/officeDocument/2006/relationships/hyperlink" Target="https://european-alternatives.eu/product/brevo" TargetMode="External"/><Relationship Id="rId55" Type="http://schemas.openxmlformats.org/officeDocument/2006/relationships/hyperlink" Target="https://pricingsaas.com/companies/expo" TargetMode="External"/><Relationship Id="rId56" Type="http://schemas.openxmlformats.org/officeDocument/2006/relationships/hyperlink" Target="https://github.com/matinzd/react-native-health-connect/wiki" TargetMode="External"/><Relationship Id="rId57" Type="http://schemas.openxmlformats.org/officeDocument/2006/relationships/hyperlink" Target="https://platform.fatsecret.com/api-editions" TargetMode="External"/><Relationship Id="rId58" Type="http://schemas.openxmlformats.org/officeDocument/2006/relationships/hyperlink" Target="https://apis.io/plans/edamam/edamam-plans-pricing/" TargetMode="External"/><Relationship Id="rId59" Type="http://schemas.openxmlformats.org/officeDocument/2006/relationships/hyperlink" Target="https://openfoodfacts.github.io/documentation/docs/Product-Opener/api/" TargetMode="External"/><Relationship Id="rId60" Type="http://schemas.openxmlformats.org/officeDocument/2006/relationships/hyperlink" Target="https://costbench.com/changelog/discourse-price-increase-2026-06/" TargetMode="External"/><Relationship Id="rId61" Type="http://schemas.openxmlformats.org/officeDocument/2006/relationships/hyperlink" Target="https://support.zammad.com/help/en-us/32-sales-accounting/781-preview-zammad-7-0-new-tariffs" TargetMode="External"/><Relationship Id="rId62" Type="http://schemas.openxmlformats.org/officeDocument/2006/relationships/hyperlink" Target="https://www.capterra.com/p/157063/ClickMeeting/" TargetMode="External"/><Relationship Id="rId63" Type="http://schemas.openxmlformats.org/officeDocument/2006/relationships/hyperlink" Target="https://international-pharma.com/evondos-group-launches-in-uk-delivering-impressive-1-46m-annualised-savings-in-medway-with-partner-kyndi/" TargetMode="External"/><Relationship Id="rId64" Type="http://schemas.openxmlformats.org/officeDocument/2006/relationships/hyperlink" Target="https://www.morphllm.com/anthropic-claude-api-pricing" TargetMode="External"/><Relationship Id="rId65" Type="http://schemas.openxmlformats.org/officeDocument/2006/relationships/hyperlink" Target="https://pricepertoken.com/pricing-page/model/mistral-ai-mistral-medium-3.5" TargetMode="External"/><Relationship Id="rId66" Type="http://schemas.openxmlformats.org/officeDocument/2006/relationships/hyperlink" Target="https://health.ec.europa.eu/ehealth-digital-health-and-care/european-health-data-space-regulation-ehds_nl" TargetMode="External"/><Relationship Id="rId67" Type="http://schemas.openxmlformats.org/officeDocument/2006/relationships/hyperlink" Target="https://itwiz.pl/authologic-rozszerza-dzialalnosc-na-siedmiu-europejskich-rynkach/" TargetMode="External"/><Relationship Id="rId68" Type="http://schemas.openxmlformats.org/officeDocument/2006/relationships/hyperlink" Target="https://soniox.com/speech-to-text/polish" TargetMode="External"/><Relationship Id="rId69" Type="http://schemas.openxmlformats.org/officeDocument/2006/relationships/hyperlink" Target="https://www.cez.gov.pl/fileadmin/user_upload/uslugi_biznesowe_projekt_p1_591ef42d93b64.pdf" TargetMode="External"/><Relationship Id="rId70" Type="http://schemas.openxmlformats.org/officeDocument/2006/relationships/hyperlink" Target="https://apps.apple.com/us/app/mydr-edm/id1634185212" TargetMode="External"/><Relationship Id="rId71" Type="http://schemas.openxmlformats.org/officeDocument/2006/relationships/hyperlink" Target="https://www.keycloak.org/2024/10/keycloak-2600-released.html" TargetMode="External"/><Relationship Id="rId72" Type="http://schemas.openxmlformats.org/officeDocument/2006/relationships/hyperlink" Target="https://www.comarch.com/healthcare/resources/case-study-lesser-poland-tele-angel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5" customFormat="false" ht="14.25" hidden="false" customHeight="true" outlineLevel="0" collapsed="false">
      <c r="B5" s="3" t="s">
        <v>2</v>
      </c>
      <c r="C5" s="4"/>
      <c r="D5" s="4"/>
    </row>
    <row r="6" customFormat="false" ht="48.75" hidden="false" customHeight="true" outlineLevel="0" collapsed="false">
      <c r="B6" s="5" t="s">
        <v>3</v>
      </c>
    </row>
    <row r="7" customFormat="false" ht="37.5" hidden="false" customHeight="true" outlineLevel="0" collapsed="false">
      <c r="B7" s="5" t="s">
        <v>4</v>
      </c>
    </row>
    <row r="9" customFormat="false" ht="14.25" hidden="false" customHeight="true" outlineLevel="0" collapsed="false">
      <c r="B9" s="3" t="s">
        <v>5</v>
      </c>
      <c r="C9" s="4"/>
      <c r="D9" s="4"/>
    </row>
    <row r="10" customFormat="false" ht="37.5" hidden="false" customHeight="true" outlineLevel="0" collapsed="false">
      <c r="B10" s="6" t="s">
        <v>6</v>
      </c>
      <c r="D10" s="5" t="s">
        <v>7</v>
      </c>
    </row>
    <row r="11" customFormat="false" ht="25.5" hidden="false" customHeight="true" outlineLevel="0" collapsed="false">
      <c r="B11" s="6" t="s">
        <v>8</v>
      </c>
      <c r="D11" s="5" t="s">
        <v>9</v>
      </c>
    </row>
    <row r="12" customFormat="false" ht="25.5" hidden="false" customHeight="true" outlineLevel="0" collapsed="false">
      <c r="B12" s="6" t="s">
        <v>10</v>
      </c>
      <c r="D12" s="5" t="s">
        <v>11</v>
      </c>
    </row>
    <row r="13" customFormat="false" ht="25.5" hidden="false" customHeight="true" outlineLevel="0" collapsed="false">
      <c r="B13" s="6" t="s">
        <v>12</v>
      </c>
      <c r="D13" s="5" t="s">
        <v>13</v>
      </c>
    </row>
    <row r="14" customFormat="false" ht="25.5" hidden="false" customHeight="true" outlineLevel="0" collapsed="false">
      <c r="B14" s="6" t="s">
        <v>14</v>
      </c>
      <c r="D14" s="5" t="s">
        <v>15</v>
      </c>
    </row>
    <row r="15" customFormat="false" ht="14.25" hidden="false" customHeight="true" outlineLevel="0" collapsed="false">
      <c r="B15" s="6" t="s">
        <v>16</v>
      </c>
      <c r="D15" s="5" t="s">
        <v>17</v>
      </c>
    </row>
    <row r="17" customFormat="false" ht="14.25" hidden="false" customHeight="true" outlineLevel="0" collapsed="false">
      <c r="B17" s="3" t="s">
        <v>18</v>
      </c>
      <c r="C17" s="4"/>
      <c r="D17" s="4"/>
    </row>
    <row r="18" customFormat="false" ht="25.5" hidden="false" customHeight="true" outlineLevel="0" collapsed="false">
      <c r="B18" s="6" t="s">
        <v>19</v>
      </c>
      <c r="D18" s="5" t="s">
        <v>20</v>
      </c>
    </row>
    <row r="19" customFormat="false" ht="25.5" hidden="false" customHeight="true" outlineLevel="0" collapsed="false">
      <c r="B19" s="6" t="s">
        <v>21</v>
      </c>
      <c r="D19" s="5" t="s">
        <v>22</v>
      </c>
    </row>
    <row r="20" customFormat="false" ht="25.5" hidden="false" customHeight="true" outlineLevel="0" collapsed="false">
      <c r="B20" s="6" t="s">
        <v>23</v>
      </c>
      <c r="D20" s="5" t="s">
        <v>24</v>
      </c>
    </row>
    <row r="21" customFormat="false" ht="25.5" hidden="false" customHeight="true" outlineLevel="0" collapsed="false">
      <c r="B21" s="6" t="s">
        <v>25</v>
      </c>
      <c r="D21" s="5" t="s">
        <v>26</v>
      </c>
    </row>
    <row r="23" customFormat="false" ht="14.25" hidden="false" customHeight="true" outlineLevel="0" collapsed="false">
      <c r="B23" s="3" t="s">
        <v>27</v>
      </c>
      <c r="C23" s="4"/>
      <c r="D23" s="4"/>
    </row>
    <row r="24" customFormat="false" ht="25.5" hidden="false" customHeight="true" outlineLevel="0" collapsed="false">
      <c r="B24" s="6" t="s">
        <v>28</v>
      </c>
      <c r="D24" s="5" t="s">
        <v>29</v>
      </c>
    </row>
    <row r="25" customFormat="false" ht="25.5" hidden="false" customHeight="true" outlineLevel="0" collapsed="false">
      <c r="B25" s="6" t="s">
        <v>30</v>
      </c>
      <c r="D25" s="5" t="s">
        <v>31</v>
      </c>
    </row>
    <row r="26" customFormat="false" ht="25.5" hidden="false" customHeight="true" outlineLevel="0" collapsed="false">
      <c r="B26" s="6" t="s">
        <v>32</v>
      </c>
      <c r="D26" s="5" t="s">
        <v>33</v>
      </c>
    </row>
    <row r="27" customFormat="false" ht="14.25" hidden="false" customHeight="true" outlineLevel="0" collapsed="false">
      <c r="B27" s="6" t="s">
        <v>34</v>
      </c>
      <c r="D27" s="5" t="s">
        <v>35</v>
      </c>
    </row>
    <row r="28" customFormat="false" ht="25.5" hidden="false" customHeight="true" outlineLevel="0" collapsed="false">
      <c r="B28" s="6" t="s">
        <v>36</v>
      </c>
      <c r="D28" s="5" t="s">
        <v>37</v>
      </c>
    </row>
    <row r="30" customFormat="false" ht="14.25" hidden="false" customHeight="true" outlineLevel="0" collapsed="false">
      <c r="B30" s="3" t="s">
        <v>38</v>
      </c>
      <c r="C30" s="4"/>
      <c r="D30" s="4"/>
    </row>
    <row r="31" customFormat="false" ht="14.25" hidden="false" customHeight="true" outlineLevel="0" collapsed="false">
      <c r="B31" s="7" t="s">
        <v>39</v>
      </c>
      <c r="C31" s="8"/>
      <c r="D31" s="9" t="s">
        <v>40</v>
      </c>
    </row>
    <row r="32" customFormat="false" ht="25.5" hidden="false" customHeight="true" outlineLevel="0" collapsed="false">
      <c r="B32" s="10" t="s">
        <v>41</v>
      </c>
      <c r="C32" s="11"/>
      <c r="D32" s="12" t="s">
        <v>42</v>
      </c>
    </row>
    <row r="33" customFormat="false" ht="25.5" hidden="false" customHeight="true" outlineLevel="0" collapsed="false">
      <c r="B33" s="13" t="s">
        <v>43</v>
      </c>
      <c r="C33" s="14"/>
      <c r="D33" s="15" t="s">
        <v>44</v>
      </c>
    </row>
    <row r="34" customFormat="false" ht="25.5" hidden="false" customHeight="true" outlineLevel="0" collapsed="false">
      <c r="B34" s="16" t="s">
        <v>45</v>
      </c>
      <c r="C34" s="17"/>
      <c r="D34" s="18" t="s">
        <v>46</v>
      </c>
    </row>
    <row r="36" customFormat="false" ht="14.25" hidden="false" customHeight="true" outlineLevel="0" collapsed="false">
      <c r="B36" s="3" t="s">
        <v>47</v>
      </c>
      <c r="C36" s="4"/>
      <c r="D36" s="4"/>
    </row>
    <row r="37" customFormat="false" ht="25.5" hidden="false" customHeight="true" outlineLevel="0" collapsed="false">
      <c r="B37" s="5" t="s">
        <v>48</v>
      </c>
    </row>
    <row r="38" customFormat="false" ht="37.5" hidden="false" customHeight="true" outlineLevel="0" collapsed="false">
      <c r="B38" s="5" t="s">
        <v>49</v>
      </c>
    </row>
    <row r="39" customFormat="false" ht="37.5" hidden="false" customHeight="true" outlineLevel="0" collapsed="false">
      <c r="B39" s="5" t="s">
        <v>50</v>
      </c>
    </row>
    <row r="40" customFormat="false" ht="37.5" hidden="false" customHeight="true" outlineLevel="0" collapsed="false">
      <c r="B40" s="5" t="s">
        <v>51</v>
      </c>
    </row>
    <row r="41" customFormat="false" ht="25.5" hidden="false" customHeight="true" outlineLevel="0" collapsed="false">
      <c r="B41" s="5" t="s">
        <v>52</v>
      </c>
    </row>
    <row r="42" customFormat="false" ht="25.5" hidden="false" customHeight="true" outlineLevel="0" collapsed="false">
      <c r="B42" s="5" t="s">
        <v>53</v>
      </c>
    </row>
    <row r="43" customFormat="false" ht="37.5" hidden="false" customHeight="true" outlineLevel="0" collapsed="false">
      <c r="B43" s="5" t="s">
        <v>54</v>
      </c>
    </row>
    <row r="44" customFormat="false" ht="25.5" hidden="false" customHeight="true" outlineLevel="0" collapsed="false">
      <c r="B44" s="5" t="s">
        <v>55</v>
      </c>
    </row>
    <row r="45" customFormat="false" ht="25.5" hidden="false" customHeight="true" outlineLevel="0" collapsed="false">
      <c r="B45" s="5" t="s">
        <v>56</v>
      </c>
    </row>
    <row r="46" customFormat="false" ht="25.5" hidden="false" customHeight="true" outlineLevel="0" collapsed="false">
      <c r="B46" s="5" t="s">
        <v>57</v>
      </c>
    </row>
    <row r="48" customFormat="false" ht="14.25" hidden="false" customHeight="true" outlineLevel="0" collapsed="false">
      <c r="B48" s="3" t="s">
        <v>58</v>
      </c>
      <c r="C48" s="4"/>
      <c r="D48" s="4"/>
    </row>
    <row r="49" customFormat="false" ht="14.25" hidden="false" customHeight="true" outlineLevel="0" collapsed="false">
      <c r="B49" s="5" t="s">
        <v>59</v>
      </c>
      <c r="C49" s="19" t="n">
        <f aca="false">COUNTA(W3_FUNKCJE_MVP!A6:A400)</f>
        <v>251</v>
      </c>
    </row>
    <row r="50" customFormat="false" ht="14.25" hidden="false" customHeight="true" outlineLevel="0" collapsed="false">
      <c r="B50" s="5" t="s">
        <v>60</v>
      </c>
      <c r="C50" s="19" t="n">
        <f aca="false">COUNTIF(W3_FUNKCJE_MVP!E6:E400,"MVP produktu (2027)")</f>
        <v>123</v>
      </c>
    </row>
    <row r="51" customFormat="false" ht="14.25" hidden="false" customHeight="true" outlineLevel="0" collapsed="false">
      <c r="B51" s="5" t="s">
        <v>61</v>
      </c>
      <c r="C51" s="19" t="n">
        <f aca="false">COUNTIF(W3_FUNKCJE_MVP!E6:E400,"MVP produktu (2028)")</f>
        <v>105</v>
      </c>
    </row>
    <row r="52" customFormat="false" ht="14.25" hidden="false" customHeight="true" outlineLevel="0" collapsed="false">
      <c r="B52" s="5" t="s">
        <v>62</v>
      </c>
      <c r="C52" s="19" t="n">
        <f aca="false">COUNTIF(W3_FUNKCJE_MVP!E6:E400,"MVP produktu (2029–2030)")</f>
        <v>23</v>
      </c>
    </row>
    <row r="53" customFormat="false" ht="14.25" hidden="false" customHeight="true" outlineLevel="0" collapsed="false">
      <c r="B53" s="5" t="s">
        <v>63</v>
      </c>
      <c r="C53" s="19" t="n">
        <f aca="false">COUNTA(W1_WYBOR!A6:A80)</f>
        <v>68</v>
      </c>
    </row>
    <row r="54" customFormat="false" ht="14.25" hidden="false" customHeight="true" outlineLevel="0" collapsed="false">
      <c r="B54" s="5" t="s">
        <v>64</v>
      </c>
      <c r="C54" s="19" t="n">
        <f aca="false">COUNTIF(W1_WYBOR!P6:P80,"ZMIANA — WYMUSZONA RYNKIEM")</f>
        <v>2</v>
      </c>
    </row>
    <row r="55" customFormat="false" ht="14.25" hidden="false" customHeight="true" outlineLevel="0" collapsed="false">
      <c r="B55" s="5" t="s">
        <v>65</v>
      </c>
      <c r="C55" s="19" t="n">
        <f aca="false">COUNTIF(W1_WYBOR!P6:P80,"ZMIANA")</f>
        <v>11</v>
      </c>
    </row>
    <row r="56" customFormat="false" ht="14.25" hidden="false" customHeight="true" outlineLevel="0" collapsed="false">
      <c r="B56" s="5" t="s">
        <v>66</v>
      </c>
      <c r="C56" s="19" t="n">
        <f aca="false">COUNTIF(W1_WYBOR!P6:P80,"DOPRECYZOWANIE")</f>
        <v>13</v>
      </c>
    </row>
    <row r="57" customFormat="false" ht="14.25" hidden="false" customHeight="true" outlineLevel="0" collapsed="false">
      <c r="B57" s="5" t="s">
        <v>67</v>
      </c>
      <c r="C57" s="19" t="n">
        <f aca="false">COUNTIF(W1_WYBOR!P6:P80,"BEZ ZMIAN")</f>
        <v>42</v>
      </c>
    </row>
    <row r="58" customFormat="false" ht="25.5" hidden="false" customHeight="true" outlineLevel="0" collapsed="false">
      <c r="B58" s="5" t="s">
        <v>68</v>
      </c>
      <c r="C58" s="19" t="n">
        <f aca="false">COUNTIF(W3_FUNKCJE_MVP!Q6:Q400,"ZMIANA*")</f>
        <v>32</v>
      </c>
    </row>
    <row r="59" customFormat="false" ht="14.25" hidden="false" customHeight="true" outlineLevel="0" collapsed="false">
      <c r="B59" s="5" t="s">
        <v>69</v>
      </c>
      <c r="C59" s="19" t="n">
        <f aca="false">COUNTIF(W3_FUNKCJE_MVP!R6:R400,"?*")</f>
        <v>84</v>
      </c>
    </row>
    <row r="60" customFormat="false" ht="14.25" hidden="false" customHeight="true" outlineLevel="0" collapsed="false">
      <c r="B60" s="5" t="s">
        <v>70</v>
      </c>
      <c r="C60" s="20" t="n">
        <f aca="false">W4_KOSZTY!D70</f>
        <v>4003.184</v>
      </c>
      <c r="D60" s="5" t="s">
        <v>71</v>
      </c>
    </row>
    <row r="61" customFormat="false" ht="14.25" hidden="false" customHeight="true" outlineLevel="0" collapsed="false">
      <c r="B61" s="5" t="s">
        <v>72</v>
      </c>
      <c r="C61" s="20" t="n">
        <f aca="false">W4_KOSZTY!E70</f>
        <v>21750.4725</v>
      </c>
    </row>
    <row r="63" customFormat="false" ht="14.25" hidden="false" customHeight="true" outlineLevel="0" collapsed="false">
      <c r="B63" s="3" t="s">
        <v>73</v>
      </c>
      <c r="C63" s="4"/>
      <c r="D63" s="4"/>
    </row>
    <row r="64" customFormat="false" ht="60" hidden="false" customHeight="true" outlineLevel="0" collapsed="false">
      <c r="B64" s="5" t="s">
        <v>74</v>
      </c>
    </row>
    <row r="65" customFormat="false" ht="37.5" hidden="false" customHeight="true" outlineLevel="0" collapsed="false">
      <c r="B65" s="5" t="s">
        <v>75</v>
      </c>
    </row>
    <row r="67" customFormat="false" ht="14.25" hidden="false" customHeight="true" outlineLevel="0" collapsed="false">
      <c r="B67" s="3" t="s">
        <v>76</v>
      </c>
      <c r="C67" s="4"/>
      <c r="D67" s="4"/>
    </row>
    <row r="68" customFormat="false" ht="37.5" hidden="false" customHeight="true" outlineLevel="0" collapsed="false">
      <c r="B68" s="5" t="s">
        <v>77</v>
      </c>
    </row>
    <row r="69" customFormat="false" ht="37.5" hidden="false" customHeight="true" outlineLevel="0" collapsed="false">
      <c r="B69" s="5" t="s">
        <v>78</v>
      </c>
    </row>
    <row r="70" customFormat="false" ht="25.5" hidden="false" customHeight="true" outlineLevel="0" collapsed="false">
      <c r="B70" s="5" t="s">
        <v>79</v>
      </c>
    </row>
    <row r="72" customFormat="false" ht="14.25" hidden="false" customHeight="true" outlineLevel="0" collapsed="false">
      <c r="B72" s="3" t="s">
        <v>80</v>
      </c>
      <c r="C72" s="4"/>
      <c r="D72" s="4"/>
    </row>
    <row r="73" customFormat="false" ht="48.75" hidden="false" customHeight="true" outlineLevel="0" collapsed="false">
      <c r="B73" s="5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32"/>
    <col collapsed="false" customWidth="true" hidden="false" outlineLevel="0" max="9" min="9" style="0" width="34"/>
    <col collapsed="false" customWidth="true" hidden="false" outlineLevel="0" max="11" min="10" style="0" width="30"/>
    <col collapsed="false" customWidth="true" hidden="false" outlineLevel="0" max="12" min="12" style="0" width="36"/>
    <col collapsed="false" customWidth="true" hidden="false" outlineLevel="0" max="13" min="13" style="0" width="32"/>
    <col collapsed="false" customWidth="true" hidden="false" outlineLevel="0" max="14" min="14" style="0" width="30"/>
    <col collapsed="false" customWidth="true" hidden="false" outlineLevel="0" max="15" min="15" style="0" width="26"/>
    <col collapsed="false" customWidth="true" hidden="false" outlineLevel="0" max="16" min="16" style="0" width="16"/>
    <col collapsed="false" customWidth="true" hidden="false" outlineLevel="0" max="17" min="17" style="0" width="46"/>
    <col collapsed="false" customWidth="true" hidden="false" outlineLevel="0" max="18" min="18" style="0" width="40"/>
    <col collapsed="false" customWidth="true" hidden="false" outlineLevel="0" max="19" min="19" style="0" width="32"/>
    <col collapsed="false" customWidth="true" hidden="false" outlineLevel="0" max="20" min="20" style="0" width="9"/>
    <col collapsed="false" customWidth="true" hidden="false" outlineLevel="0" max="21" min="21" style="0" width="38"/>
    <col collapsed="false" customWidth="true" hidden="false" outlineLevel="0" max="22" min="22" style="0" width="32"/>
    <col collapsed="false" customWidth="true" hidden="false" outlineLevel="0" max="23" min="23" style="0" width="26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3" customFormat="false" ht="15" hidden="false" customHeight="false" outlineLevel="0" collapsed="false">
      <c r="A3" s="21" t="s">
        <v>84</v>
      </c>
    </row>
    <row r="5" customFormat="false" ht="48" hidden="false" customHeight="true" outlineLevel="0" collapsed="false">
      <c r="A5" s="22" t="s">
        <v>85</v>
      </c>
      <c r="B5" s="22" t="s">
        <v>86</v>
      </c>
      <c r="C5" s="22" t="s">
        <v>87</v>
      </c>
      <c r="D5" s="22" t="s">
        <v>88</v>
      </c>
      <c r="E5" s="22" t="s">
        <v>89</v>
      </c>
      <c r="F5" s="22" t="s">
        <v>90</v>
      </c>
      <c r="G5" s="22" t="s">
        <v>91</v>
      </c>
      <c r="H5" s="22" t="s">
        <v>92</v>
      </c>
      <c r="I5" s="22" t="s">
        <v>93</v>
      </c>
      <c r="J5" s="22" t="s">
        <v>94</v>
      </c>
      <c r="K5" s="23" t="s">
        <v>95</v>
      </c>
      <c r="L5" s="23" t="s">
        <v>96</v>
      </c>
      <c r="M5" s="23" t="s">
        <v>97</v>
      </c>
      <c r="N5" s="23" t="s">
        <v>98</v>
      </c>
      <c r="O5" s="22" t="s">
        <v>99</v>
      </c>
      <c r="P5" s="22" t="s">
        <v>100</v>
      </c>
      <c r="Q5" s="22" t="s">
        <v>101</v>
      </c>
      <c r="R5" s="22" t="s">
        <v>102</v>
      </c>
      <c r="S5" s="22" t="s">
        <v>103</v>
      </c>
      <c r="T5" s="22" t="s">
        <v>104</v>
      </c>
      <c r="U5" s="22" t="s">
        <v>105</v>
      </c>
      <c r="V5" s="22" t="s">
        <v>106</v>
      </c>
      <c r="W5" s="22" t="s">
        <v>107</v>
      </c>
    </row>
    <row r="6" customFormat="false" ht="106.5" hidden="false" customHeight="true" outlineLevel="0" collapsed="false">
      <c r="A6" s="24" t="s">
        <v>108</v>
      </c>
      <c r="B6" s="25" t="s">
        <v>109</v>
      </c>
      <c r="C6" s="26" t="s">
        <v>110</v>
      </c>
      <c r="D6" s="27" t="s">
        <v>111</v>
      </c>
      <c r="E6" s="27" t="n">
        <f aca="false">COUNTIF(W3_FUNKCJE_MVP!$L$6:$L$400,$A6)</f>
        <v>6</v>
      </c>
      <c r="F6" s="26" t="s">
        <v>112</v>
      </c>
      <c r="G6" s="26" t="s">
        <v>113</v>
      </c>
      <c r="H6" s="26" t="s">
        <v>114</v>
      </c>
      <c r="I6" s="26" t="s">
        <v>115</v>
      </c>
      <c r="J6" s="26" t="s">
        <v>116</v>
      </c>
      <c r="K6" s="28" t="s">
        <v>117</v>
      </c>
      <c r="L6" s="28" t="s">
        <v>118</v>
      </c>
      <c r="M6" s="28" t="s">
        <v>119</v>
      </c>
      <c r="N6" s="28" t="s">
        <v>120</v>
      </c>
      <c r="O6" s="26" t="s">
        <v>121</v>
      </c>
      <c r="P6" s="29" t="s">
        <v>43</v>
      </c>
      <c r="Q6" s="26" t="s">
        <v>122</v>
      </c>
      <c r="R6" s="26" t="s">
        <v>123</v>
      </c>
      <c r="S6" s="26" t="s">
        <v>124</v>
      </c>
      <c r="T6" s="27" t="n">
        <v>5</v>
      </c>
      <c r="U6" s="26" t="s">
        <v>125</v>
      </c>
      <c r="V6" s="26" t="s">
        <v>126</v>
      </c>
      <c r="W6" s="26" t="s">
        <v>127</v>
      </c>
    </row>
    <row r="7" customFormat="false" ht="37.5" hidden="false" customHeight="true" outlineLevel="0" collapsed="false">
      <c r="A7" s="24" t="s">
        <v>128</v>
      </c>
      <c r="B7" s="25" t="s">
        <v>129</v>
      </c>
      <c r="C7" s="26" t="s">
        <v>129</v>
      </c>
      <c r="D7" s="27" t="s">
        <v>130</v>
      </c>
      <c r="E7" s="27" t="n">
        <f aca="false">COUNTIF(W3_FUNKCJE_MVP!$L$6:$L$400,$A7)</f>
        <v>1</v>
      </c>
      <c r="F7" s="26" t="s">
        <v>131</v>
      </c>
      <c r="G7" s="26" t="s">
        <v>132</v>
      </c>
      <c r="H7" s="26" t="s">
        <v>133</v>
      </c>
      <c r="I7" s="26" t="s">
        <v>134</v>
      </c>
      <c r="J7" s="26" t="s">
        <v>135</v>
      </c>
      <c r="K7" s="28" t="s">
        <v>136</v>
      </c>
      <c r="L7" s="28" t="s">
        <v>137</v>
      </c>
      <c r="M7" s="28" t="s">
        <v>138</v>
      </c>
      <c r="N7" s="28" t="s">
        <v>139</v>
      </c>
      <c r="O7" s="26" t="s">
        <v>140</v>
      </c>
      <c r="P7" s="30" t="s">
        <v>39</v>
      </c>
      <c r="Q7" s="26" t="s">
        <v>141</v>
      </c>
      <c r="R7" s="26" t="s">
        <v>142</v>
      </c>
      <c r="S7" s="26" t="s">
        <v>143</v>
      </c>
      <c r="T7" s="27" t="n">
        <v>5</v>
      </c>
      <c r="U7" s="26" t="s">
        <v>144</v>
      </c>
      <c r="V7" s="26" t="s">
        <v>145</v>
      </c>
      <c r="W7" s="26" t="s">
        <v>146</v>
      </c>
    </row>
    <row r="8" customFormat="false" ht="48.75" hidden="false" customHeight="true" outlineLevel="0" collapsed="false">
      <c r="A8" s="24" t="s">
        <v>147</v>
      </c>
      <c r="B8" s="25" t="s">
        <v>148</v>
      </c>
      <c r="C8" s="26" t="s">
        <v>149</v>
      </c>
      <c r="D8" s="27" t="s">
        <v>111</v>
      </c>
      <c r="E8" s="27" t="n">
        <f aca="false">COUNTIF(W3_FUNKCJE_MVP!$L$6:$L$400,$A8)</f>
        <v>0</v>
      </c>
      <c r="F8" s="26" t="s">
        <v>150</v>
      </c>
      <c r="G8" s="26" t="s">
        <v>151</v>
      </c>
      <c r="H8" s="26" t="s">
        <v>152</v>
      </c>
      <c r="I8" s="26" t="s">
        <v>153</v>
      </c>
      <c r="J8" s="26" t="s">
        <v>154</v>
      </c>
      <c r="K8" s="28" t="s">
        <v>155</v>
      </c>
      <c r="L8" s="28" t="s">
        <v>156</v>
      </c>
      <c r="M8" s="28" t="s">
        <v>157</v>
      </c>
      <c r="N8" s="28" t="s">
        <v>158</v>
      </c>
      <c r="O8" s="26" t="s">
        <v>159</v>
      </c>
      <c r="P8" s="31" t="s">
        <v>41</v>
      </c>
      <c r="Q8" s="26" t="s">
        <v>160</v>
      </c>
      <c r="R8" s="26" t="s">
        <v>161</v>
      </c>
      <c r="S8" s="26" t="s">
        <v>162</v>
      </c>
      <c r="T8" s="27" t="n">
        <v>4</v>
      </c>
      <c r="U8" s="26" t="s">
        <v>163</v>
      </c>
      <c r="V8" s="26" t="s">
        <v>164</v>
      </c>
      <c r="W8" s="26" t="s">
        <v>165</v>
      </c>
    </row>
    <row r="9" customFormat="false" ht="60" hidden="false" customHeight="true" outlineLevel="0" collapsed="false">
      <c r="A9" s="24" t="s">
        <v>166</v>
      </c>
      <c r="B9" s="25" t="s">
        <v>167</v>
      </c>
      <c r="C9" s="26" t="s">
        <v>168</v>
      </c>
      <c r="D9" s="27" t="s">
        <v>169</v>
      </c>
      <c r="E9" s="27" t="n">
        <f aca="false">COUNTIF(W3_FUNKCJE_MVP!$L$6:$L$400,$A9)</f>
        <v>2</v>
      </c>
      <c r="F9" s="26" t="s">
        <v>112</v>
      </c>
      <c r="G9" s="26" t="s">
        <v>170</v>
      </c>
      <c r="H9" s="26" t="s">
        <v>171</v>
      </c>
      <c r="I9" s="26" t="s">
        <v>151</v>
      </c>
      <c r="J9" s="26" t="s">
        <v>172</v>
      </c>
      <c r="K9" s="28" t="s">
        <v>173</v>
      </c>
      <c r="L9" s="28" t="s">
        <v>174</v>
      </c>
      <c r="M9" s="28" t="s">
        <v>175</v>
      </c>
      <c r="N9" s="28" t="s">
        <v>176</v>
      </c>
      <c r="O9" s="26" t="s">
        <v>177</v>
      </c>
      <c r="P9" s="29" t="s">
        <v>43</v>
      </c>
      <c r="Q9" s="26" t="s">
        <v>178</v>
      </c>
      <c r="R9" s="26" t="s">
        <v>179</v>
      </c>
      <c r="S9" s="26" t="s">
        <v>180</v>
      </c>
      <c r="T9" s="27" t="n">
        <v>4</v>
      </c>
      <c r="U9" s="26" t="s">
        <v>181</v>
      </c>
      <c r="V9" s="26" t="s">
        <v>182</v>
      </c>
      <c r="W9" s="26" t="s">
        <v>183</v>
      </c>
    </row>
    <row r="10" customFormat="false" ht="48.75" hidden="false" customHeight="true" outlineLevel="0" collapsed="false">
      <c r="A10" s="24" t="s">
        <v>184</v>
      </c>
      <c r="B10" s="25" t="s">
        <v>185</v>
      </c>
      <c r="C10" s="26" t="s">
        <v>186</v>
      </c>
      <c r="D10" s="27" t="s">
        <v>187</v>
      </c>
      <c r="E10" s="27" t="n">
        <f aca="false">COUNTIF(W3_FUNKCJE_MVP!$L$6:$L$400,$A10)</f>
        <v>2</v>
      </c>
      <c r="F10" s="26" t="s">
        <v>188</v>
      </c>
      <c r="G10" s="26" t="s">
        <v>189</v>
      </c>
      <c r="H10" s="26" t="s">
        <v>190</v>
      </c>
      <c r="I10" s="26" t="s">
        <v>191</v>
      </c>
      <c r="J10" s="26" t="s">
        <v>192</v>
      </c>
      <c r="K10" s="28" t="s">
        <v>193</v>
      </c>
      <c r="L10" s="28" t="s">
        <v>194</v>
      </c>
      <c r="M10" s="28" t="s">
        <v>195</v>
      </c>
      <c r="N10" s="28" t="s">
        <v>196</v>
      </c>
      <c r="O10" s="26" t="s">
        <v>197</v>
      </c>
      <c r="P10" s="30" t="s">
        <v>39</v>
      </c>
      <c r="Q10" s="26" t="s">
        <v>198</v>
      </c>
      <c r="R10" s="26" t="s">
        <v>199</v>
      </c>
      <c r="S10" s="26" t="s">
        <v>200</v>
      </c>
      <c r="T10" s="27" t="n">
        <v>5</v>
      </c>
      <c r="U10" s="26" t="s">
        <v>201</v>
      </c>
      <c r="V10" s="26" t="s">
        <v>202</v>
      </c>
      <c r="W10" s="26" t="s">
        <v>203</v>
      </c>
    </row>
    <row r="11" customFormat="false" ht="37.5" hidden="false" customHeight="true" outlineLevel="0" collapsed="false">
      <c r="A11" s="24" t="s">
        <v>204</v>
      </c>
      <c r="B11" s="25" t="s">
        <v>205</v>
      </c>
      <c r="C11" s="26" t="s">
        <v>206</v>
      </c>
      <c r="D11" s="27" t="s">
        <v>207</v>
      </c>
      <c r="E11" s="27" t="n">
        <f aca="false">COUNTIF(W3_FUNKCJE_MVP!$L$6:$L$400,$A11)</f>
        <v>2</v>
      </c>
      <c r="F11" s="26" t="s">
        <v>188</v>
      </c>
      <c r="G11" s="26" t="s">
        <v>208</v>
      </c>
      <c r="H11" s="26" t="s">
        <v>151</v>
      </c>
      <c r="I11" s="26" t="s">
        <v>209</v>
      </c>
      <c r="J11" s="26" t="s">
        <v>210</v>
      </c>
      <c r="K11" s="28" t="s">
        <v>211</v>
      </c>
      <c r="L11" s="28" t="s">
        <v>212</v>
      </c>
      <c r="M11" s="28" t="s">
        <v>213</v>
      </c>
      <c r="N11" s="28" t="s">
        <v>214</v>
      </c>
      <c r="O11" s="26" t="s">
        <v>215</v>
      </c>
      <c r="P11" s="30" t="s">
        <v>39</v>
      </c>
      <c r="Q11" s="26" t="s">
        <v>216</v>
      </c>
      <c r="R11" s="26" t="s">
        <v>217</v>
      </c>
      <c r="S11" s="26" t="s">
        <v>218</v>
      </c>
      <c r="T11" s="27" t="n">
        <v>5</v>
      </c>
      <c r="U11" s="26" t="s">
        <v>219</v>
      </c>
      <c r="V11" s="26" t="s">
        <v>220</v>
      </c>
      <c r="W11" s="26" t="s">
        <v>203</v>
      </c>
    </row>
    <row r="12" customFormat="false" ht="60" hidden="false" customHeight="true" outlineLevel="0" collapsed="false">
      <c r="A12" s="24" t="s">
        <v>221</v>
      </c>
      <c r="B12" s="25" t="s">
        <v>222</v>
      </c>
      <c r="C12" s="26" t="s">
        <v>223</v>
      </c>
      <c r="D12" s="27" t="s">
        <v>224</v>
      </c>
      <c r="E12" s="27" t="n">
        <f aca="false">COUNTIF(W3_FUNKCJE_MVP!$L$6:$L$400,$A12)</f>
        <v>9</v>
      </c>
      <c r="F12" s="26" t="s">
        <v>112</v>
      </c>
      <c r="G12" s="26" t="s">
        <v>225</v>
      </c>
      <c r="H12" s="26" t="s">
        <v>226</v>
      </c>
      <c r="I12" s="26" t="s">
        <v>227</v>
      </c>
      <c r="J12" s="26" t="s">
        <v>228</v>
      </c>
      <c r="K12" s="28" t="s">
        <v>229</v>
      </c>
      <c r="L12" s="28" t="s">
        <v>230</v>
      </c>
      <c r="M12" s="28" t="s">
        <v>231</v>
      </c>
      <c r="N12" s="28" t="s">
        <v>232</v>
      </c>
      <c r="O12" s="26" t="s">
        <v>233</v>
      </c>
      <c r="P12" s="31" t="s">
        <v>41</v>
      </c>
      <c r="Q12" s="26" t="s">
        <v>234</v>
      </c>
      <c r="R12" s="26" t="s">
        <v>235</v>
      </c>
      <c r="S12" s="26" t="s">
        <v>236</v>
      </c>
      <c r="T12" s="27" t="n">
        <v>5</v>
      </c>
      <c r="U12" s="26" t="s">
        <v>237</v>
      </c>
      <c r="V12" s="26" t="s">
        <v>238</v>
      </c>
      <c r="W12" s="26" t="s">
        <v>239</v>
      </c>
    </row>
    <row r="13" customFormat="false" ht="48.75" hidden="false" customHeight="true" outlineLevel="0" collapsed="false">
      <c r="A13" s="24" t="s">
        <v>240</v>
      </c>
      <c r="B13" s="25" t="s">
        <v>241</v>
      </c>
      <c r="C13" s="26" t="s">
        <v>242</v>
      </c>
      <c r="D13" s="27" t="s">
        <v>243</v>
      </c>
      <c r="E13" s="27" t="n">
        <f aca="false">COUNTIF(W3_FUNKCJE_MVP!$L$6:$L$400,$A13)</f>
        <v>1</v>
      </c>
      <c r="F13" s="26" t="s">
        <v>244</v>
      </c>
      <c r="G13" s="26" t="s">
        <v>245</v>
      </c>
      <c r="H13" s="26" t="s">
        <v>246</v>
      </c>
      <c r="I13" s="26" t="s">
        <v>247</v>
      </c>
      <c r="J13" s="26" t="s">
        <v>248</v>
      </c>
      <c r="K13" s="28" t="s">
        <v>249</v>
      </c>
      <c r="L13" s="28" t="s">
        <v>250</v>
      </c>
      <c r="M13" s="28" t="s">
        <v>251</v>
      </c>
      <c r="N13" s="28" t="s">
        <v>252</v>
      </c>
      <c r="O13" s="26" t="s">
        <v>253</v>
      </c>
      <c r="P13" s="31" t="s">
        <v>41</v>
      </c>
      <c r="Q13" s="26" t="s">
        <v>254</v>
      </c>
      <c r="R13" s="26" t="s">
        <v>255</v>
      </c>
      <c r="S13" s="26" t="s">
        <v>256</v>
      </c>
      <c r="T13" s="27" t="n">
        <v>4</v>
      </c>
      <c r="U13" s="26" t="s">
        <v>257</v>
      </c>
      <c r="V13" s="26" t="s">
        <v>258</v>
      </c>
      <c r="W13" s="26" t="s">
        <v>259</v>
      </c>
    </row>
    <row r="14" customFormat="false" ht="37.5" hidden="false" customHeight="true" outlineLevel="0" collapsed="false">
      <c r="A14" s="24" t="s">
        <v>260</v>
      </c>
      <c r="B14" s="25" t="s">
        <v>261</v>
      </c>
      <c r="C14" s="26" t="s">
        <v>262</v>
      </c>
      <c r="D14" s="27" t="s">
        <v>263</v>
      </c>
      <c r="E14" s="27" t="n">
        <f aca="false">COUNTIF(W3_FUNKCJE_MVP!$L$6:$L$400,$A14)</f>
        <v>2</v>
      </c>
      <c r="F14" s="26" t="s">
        <v>264</v>
      </c>
      <c r="G14" s="26" t="s">
        <v>265</v>
      </c>
      <c r="H14" s="26" t="s">
        <v>266</v>
      </c>
      <c r="I14" s="26" t="s">
        <v>151</v>
      </c>
      <c r="J14" s="26" t="s">
        <v>267</v>
      </c>
      <c r="K14" s="28" t="s">
        <v>268</v>
      </c>
      <c r="L14" s="28" t="s">
        <v>269</v>
      </c>
      <c r="M14" s="28" t="s">
        <v>270</v>
      </c>
      <c r="N14" s="28" t="s">
        <v>271</v>
      </c>
      <c r="O14" s="26" t="s">
        <v>272</v>
      </c>
      <c r="P14" s="30" t="s">
        <v>39</v>
      </c>
      <c r="Q14" s="26" t="s">
        <v>273</v>
      </c>
      <c r="R14" s="26" t="s">
        <v>274</v>
      </c>
      <c r="S14" s="26" t="s">
        <v>275</v>
      </c>
      <c r="T14" s="27" t="n">
        <v>5</v>
      </c>
      <c r="U14" s="26" t="s">
        <v>276</v>
      </c>
      <c r="V14" s="26" t="s">
        <v>277</v>
      </c>
      <c r="W14" s="26" t="s">
        <v>203</v>
      </c>
    </row>
    <row r="15" customFormat="false" ht="60" hidden="false" customHeight="true" outlineLevel="0" collapsed="false">
      <c r="A15" s="24" t="s">
        <v>278</v>
      </c>
      <c r="B15" s="25" t="s">
        <v>279</v>
      </c>
      <c r="C15" s="26" t="s">
        <v>280</v>
      </c>
      <c r="D15" s="27" t="s">
        <v>281</v>
      </c>
      <c r="E15" s="27" t="n">
        <f aca="false">COUNTIF(W3_FUNKCJE_MVP!$L$6:$L$400,$A15)</f>
        <v>5</v>
      </c>
      <c r="F15" s="26" t="s">
        <v>282</v>
      </c>
      <c r="G15" s="26" t="s">
        <v>283</v>
      </c>
      <c r="H15" s="26" t="s">
        <v>284</v>
      </c>
      <c r="I15" s="26" t="s">
        <v>285</v>
      </c>
      <c r="J15" s="26" t="s">
        <v>286</v>
      </c>
      <c r="K15" s="28" t="s">
        <v>287</v>
      </c>
      <c r="L15" s="28" t="s">
        <v>288</v>
      </c>
      <c r="M15" s="28" t="s">
        <v>289</v>
      </c>
      <c r="N15" s="28" t="s">
        <v>290</v>
      </c>
      <c r="O15" s="26" t="s">
        <v>291</v>
      </c>
      <c r="P15" s="29" t="s">
        <v>43</v>
      </c>
      <c r="Q15" s="26" t="s">
        <v>292</v>
      </c>
      <c r="R15" s="26" t="s">
        <v>293</v>
      </c>
      <c r="S15" s="26" t="s">
        <v>294</v>
      </c>
      <c r="T15" s="27" t="n">
        <v>5</v>
      </c>
      <c r="U15" s="26" t="s">
        <v>295</v>
      </c>
      <c r="V15" s="26" t="s">
        <v>296</v>
      </c>
      <c r="W15" s="26" t="s">
        <v>297</v>
      </c>
    </row>
    <row r="16" customFormat="false" ht="48.75" hidden="false" customHeight="true" outlineLevel="0" collapsed="false">
      <c r="A16" s="24" t="s">
        <v>298</v>
      </c>
      <c r="B16" s="25" t="s">
        <v>299</v>
      </c>
      <c r="C16" s="26" t="s">
        <v>300</v>
      </c>
      <c r="D16" s="27" t="s">
        <v>301</v>
      </c>
      <c r="E16" s="27" t="n">
        <f aca="false">COUNTIF(W3_FUNKCJE_MVP!$L$6:$L$400,$A16)</f>
        <v>7</v>
      </c>
      <c r="F16" s="26" t="s">
        <v>302</v>
      </c>
      <c r="G16" s="26" t="s">
        <v>303</v>
      </c>
      <c r="H16" s="26" t="s">
        <v>304</v>
      </c>
      <c r="I16" s="26" t="s">
        <v>305</v>
      </c>
      <c r="J16" s="26" t="s">
        <v>306</v>
      </c>
      <c r="K16" s="28" t="s">
        <v>307</v>
      </c>
      <c r="L16" s="28" t="s">
        <v>308</v>
      </c>
      <c r="M16" s="28" t="s">
        <v>309</v>
      </c>
      <c r="N16" s="28" t="s">
        <v>310</v>
      </c>
      <c r="O16" s="26" t="s">
        <v>311</v>
      </c>
      <c r="P16" s="31" t="s">
        <v>41</v>
      </c>
      <c r="Q16" s="26" t="s">
        <v>312</v>
      </c>
      <c r="R16" s="26" t="s">
        <v>313</v>
      </c>
      <c r="S16" s="26" t="s">
        <v>314</v>
      </c>
      <c r="T16" s="27" t="n">
        <v>5</v>
      </c>
      <c r="U16" s="26" t="s">
        <v>315</v>
      </c>
      <c r="V16" s="26" t="s">
        <v>316</v>
      </c>
      <c r="W16" s="26" t="s">
        <v>317</v>
      </c>
    </row>
    <row r="17" customFormat="false" ht="37.5" hidden="false" customHeight="true" outlineLevel="0" collapsed="false">
      <c r="A17" s="24" t="s">
        <v>318</v>
      </c>
      <c r="B17" s="25" t="s">
        <v>319</v>
      </c>
      <c r="C17" s="26" t="s">
        <v>320</v>
      </c>
      <c r="D17" s="27" t="s">
        <v>321</v>
      </c>
      <c r="E17" s="27" t="n">
        <f aca="false">COUNTIF(W3_FUNKCJE_MVP!$L$6:$L$400,$A17)</f>
        <v>2</v>
      </c>
      <c r="F17" s="26" t="s">
        <v>322</v>
      </c>
      <c r="G17" s="26" t="s">
        <v>151</v>
      </c>
      <c r="H17" s="26" t="s">
        <v>323</v>
      </c>
      <c r="I17" s="26" t="s">
        <v>324</v>
      </c>
      <c r="J17" s="26" t="s">
        <v>151</v>
      </c>
      <c r="K17" s="28" t="s">
        <v>325</v>
      </c>
      <c r="L17" s="28" t="s">
        <v>326</v>
      </c>
      <c r="M17" s="28" t="s">
        <v>327</v>
      </c>
      <c r="N17" s="28" t="s">
        <v>328</v>
      </c>
      <c r="O17" s="26" t="s">
        <v>329</v>
      </c>
      <c r="P17" s="30" t="s">
        <v>39</v>
      </c>
      <c r="Q17" s="26" t="s">
        <v>330</v>
      </c>
      <c r="R17" s="26" t="s">
        <v>331</v>
      </c>
      <c r="S17" s="26" t="s">
        <v>332</v>
      </c>
      <c r="T17" s="27" t="n">
        <v>3</v>
      </c>
      <c r="U17" s="26" t="s">
        <v>333</v>
      </c>
      <c r="V17" s="26" t="s">
        <v>334</v>
      </c>
      <c r="W17" s="26" t="s">
        <v>335</v>
      </c>
    </row>
    <row r="18" customFormat="false" ht="48.75" hidden="false" customHeight="true" outlineLevel="0" collapsed="false">
      <c r="A18" s="24" t="s">
        <v>336</v>
      </c>
      <c r="B18" s="25" t="s">
        <v>337</v>
      </c>
      <c r="C18" s="26" t="s">
        <v>338</v>
      </c>
      <c r="D18" s="27" t="s">
        <v>339</v>
      </c>
      <c r="E18" s="27" t="n">
        <f aca="false">COUNTIF(W3_FUNKCJE_MVP!$L$6:$L$400,$A18)</f>
        <v>1</v>
      </c>
      <c r="F18" s="26" t="s">
        <v>340</v>
      </c>
      <c r="G18" s="26" t="s">
        <v>341</v>
      </c>
      <c r="H18" s="26" t="s">
        <v>342</v>
      </c>
      <c r="I18" s="26" t="s">
        <v>343</v>
      </c>
      <c r="J18" s="26" t="s">
        <v>344</v>
      </c>
      <c r="K18" s="28" t="s">
        <v>345</v>
      </c>
      <c r="L18" s="28" t="s">
        <v>346</v>
      </c>
      <c r="M18" s="28" t="s">
        <v>347</v>
      </c>
      <c r="N18" s="28" t="s">
        <v>348</v>
      </c>
      <c r="O18" s="26" t="s">
        <v>349</v>
      </c>
      <c r="P18" s="32" t="s">
        <v>45</v>
      </c>
      <c r="Q18" s="26" t="s">
        <v>350</v>
      </c>
      <c r="R18" s="26" t="s">
        <v>351</v>
      </c>
      <c r="S18" s="26" t="s">
        <v>352</v>
      </c>
      <c r="T18" s="27" t="n">
        <v>4</v>
      </c>
      <c r="U18" s="26" t="s">
        <v>353</v>
      </c>
      <c r="V18" s="26" t="s">
        <v>354</v>
      </c>
      <c r="W18" s="26" t="s">
        <v>355</v>
      </c>
    </row>
    <row r="19" customFormat="false" ht="48.75" hidden="false" customHeight="true" outlineLevel="0" collapsed="false">
      <c r="A19" s="24" t="s">
        <v>356</v>
      </c>
      <c r="B19" s="25" t="s">
        <v>357</v>
      </c>
      <c r="C19" s="26" t="s">
        <v>358</v>
      </c>
      <c r="D19" s="27" t="s">
        <v>359</v>
      </c>
      <c r="E19" s="27" t="n">
        <f aca="false">COUNTIF(W3_FUNKCJE_MVP!$L$6:$L$400,$A19)</f>
        <v>10</v>
      </c>
      <c r="F19" s="26" t="s">
        <v>360</v>
      </c>
      <c r="G19" s="26" t="s">
        <v>361</v>
      </c>
      <c r="H19" s="26" t="s">
        <v>362</v>
      </c>
      <c r="I19" s="26" t="s">
        <v>363</v>
      </c>
      <c r="J19" s="26" t="s">
        <v>364</v>
      </c>
      <c r="K19" s="28" t="s">
        <v>365</v>
      </c>
      <c r="L19" s="28" t="s">
        <v>366</v>
      </c>
      <c r="M19" s="28" t="s">
        <v>367</v>
      </c>
      <c r="N19" s="28" t="s">
        <v>368</v>
      </c>
      <c r="O19" s="26" t="s">
        <v>369</v>
      </c>
      <c r="P19" s="31" t="s">
        <v>41</v>
      </c>
      <c r="Q19" s="26" t="s">
        <v>370</v>
      </c>
      <c r="R19" s="26" t="s">
        <v>371</v>
      </c>
      <c r="S19" s="26" t="s">
        <v>372</v>
      </c>
      <c r="T19" s="27" t="n">
        <v>5</v>
      </c>
      <c r="U19" s="26" t="s">
        <v>373</v>
      </c>
      <c r="V19" s="26" t="s">
        <v>374</v>
      </c>
      <c r="W19" s="26" t="s">
        <v>375</v>
      </c>
    </row>
    <row r="20" customFormat="false" ht="72" hidden="false" customHeight="true" outlineLevel="0" collapsed="false">
      <c r="A20" s="24" t="s">
        <v>376</v>
      </c>
      <c r="B20" s="25" t="s">
        <v>377</v>
      </c>
      <c r="C20" s="26" t="s">
        <v>378</v>
      </c>
      <c r="D20" s="27" t="s">
        <v>379</v>
      </c>
      <c r="E20" s="27" t="n">
        <f aca="false">COUNTIF(W3_FUNKCJE_MVP!$L$6:$L$400,$A20)</f>
        <v>3</v>
      </c>
      <c r="F20" s="26" t="s">
        <v>380</v>
      </c>
      <c r="G20" s="26" t="s">
        <v>381</v>
      </c>
      <c r="H20" s="26" t="s">
        <v>382</v>
      </c>
      <c r="I20" s="26" t="s">
        <v>383</v>
      </c>
      <c r="J20" s="26" t="s">
        <v>384</v>
      </c>
      <c r="K20" s="28" t="s">
        <v>385</v>
      </c>
      <c r="L20" s="28" t="s">
        <v>386</v>
      </c>
      <c r="M20" s="28" t="s">
        <v>387</v>
      </c>
      <c r="N20" s="28" t="s">
        <v>388</v>
      </c>
      <c r="O20" s="26" t="s">
        <v>389</v>
      </c>
      <c r="P20" s="32" t="s">
        <v>45</v>
      </c>
      <c r="Q20" s="26" t="s">
        <v>390</v>
      </c>
      <c r="R20" s="26" t="s">
        <v>391</v>
      </c>
      <c r="S20" s="26" t="s">
        <v>392</v>
      </c>
      <c r="T20" s="27" t="n">
        <v>4</v>
      </c>
      <c r="U20" s="26" t="s">
        <v>393</v>
      </c>
      <c r="V20" s="26" t="s">
        <v>394</v>
      </c>
      <c r="W20" s="26" t="s">
        <v>395</v>
      </c>
    </row>
    <row r="21" customFormat="false" ht="60" hidden="false" customHeight="true" outlineLevel="0" collapsed="false">
      <c r="A21" s="24" t="s">
        <v>396</v>
      </c>
      <c r="B21" s="25" t="s">
        <v>397</v>
      </c>
      <c r="C21" s="26" t="s">
        <v>398</v>
      </c>
      <c r="D21" s="27" t="s">
        <v>399</v>
      </c>
      <c r="E21" s="27" t="n">
        <f aca="false">COUNTIF(W3_FUNKCJE_MVP!$L$6:$L$400,$A21)</f>
        <v>8</v>
      </c>
      <c r="F21" s="26" t="s">
        <v>400</v>
      </c>
      <c r="G21" s="26" t="s">
        <v>401</v>
      </c>
      <c r="H21" s="26" t="s">
        <v>402</v>
      </c>
      <c r="I21" s="26" t="s">
        <v>403</v>
      </c>
      <c r="J21" s="26" t="s">
        <v>404</v>
      </c>
      <c r="K21" s="28" t="s">
        <v>405</v>
      </c>
      <c r="L21" s="28" t="s">
        <v>406</v>
      </c>
      <c r="M21" s="28" t="s">
        <v>407</v>
      </c>
      <c r="N21" s="28" t="s">
        <v>408</v>
      </c>
      <c r="O21" s="26" t="s">
        <v>409</v>
      </c>
      <c r="P21" s="30" t="s">
        <v>39</v>
      </c>
      <c r="Q21" s="26" t="s">
        <v>410</v>
      </c>
      <c r="R21" s="26" t="s">
        <v>411</v>
      </c>
      <c r="S21" s="26" t="s">
        <v>412</v>
      </c>
      <c r="T21" s="27" t="n">
        <v>4</v>
      </c>
      <c r="U21" s="26" t="s">
        <v>413</v>
      </c>
      <c r="V21" s="26" t="s">
        <v>414</v>
      </c>
      <c r="W21" s="26" t="s">
        <v>415</v>
      </c>
    </row>
    <row r="22" customFormat="false" ht="48.75" hidden="false" customHeight="true" outlineLevel="0" collapsed="false">
      <c r="A22" s="24" t="s">
        <v>416</v>
      </c>
      <c r="B22" s="25" t="s">
        <v>417</v>
      </c>
      <c r="C22" s="26" t="s">
        <v>418</v>
      </c>
      <c r="D22" s="27" t="s">
        <v>419</v>
      </c>
      <c r="E22" s="27" t="n">
        <f aca="false">COUNTIF(W3_FUNKCJE_MVP!$L$6:$L$400,$A22)</f>
        <v>1</v>
      </c>
      <c r="F22" s="26" t="s">
        <v>420</v>
      </c>
      <c r="G22" s="26" t="s">
        <v>421</v>
      </c>
      <c r="H22" s="26" t="s">
        <v>151</v>
      </c>
      <c r="I22" s="26" t="s">
        <v>422</v>
      </c>
      <c r="J22" s="26" t="s">
        <v>423</v>
      </c>
      <c r="K22" s="28" t="s">
        <v>424</v>
      </c>
      <c r="L22" s="28" t="s">
        <v>425</v>
      </c>
      <c r="M22" s="28" t="s">
        <v>426</v>
      </c>
      <c r="N22" s="28" t="s">
        <v>427</v>
      </c>
      <c r="O22" s="26" t="s">
        <v>428</v>
      </c>
      <c r="P22" s="31" t="s">
        <v>41</v>
      </c>
      <c r="Q22" s="26" t="s">
        <v>429</v>
      </c>
      <c r="R22" s="26" t="s">
        <v>430</v>
      </c>
      <c r="S22" s="26" t="s">
        <v>431</v>
      </c>
      <c r="T22" s="27" t="n">
        <v>4</v>
      </c>
      <c r="U22" s="26" t="s">
        <v>432</v>
      </c>
      <c r="V22" s="26" t="s">
        <v>433</v>
      </c>
      <c r="W22" s="26" t="s">
        <v>434</v>
      </c>
    </row>
    <row r="23" customFormat="false" ht="37.5" hidden="false" customHeight="true" outlineLevel="0" collapsed="false">
      <c r="A23" s="24" t="s">
        <v>435</v>
      </c>
      <c r="B23" s="25" t="s">
        <v>436</v>
      </c>
      <c r="C23" s="26" t="s">
        <v>437</v>
      </c>
      <c r="D23" s="27" t="s">
        <v>438</v>
      </c>
      <c r="E23" s="27" t="n">
        <f aca="false">COUNTIF(W3_FUNKCJE_MVP!$L$6:$L$400,$A23)</f>
        <v>5</v>
      </c>
      <c r="F23" s="26" t="s">
        <v>439</v>
      </c>
      <c r="G23" s="26" t="s">
        <v>440</v>
      </c>
      <c r="H23" s="26" t="s">
        <v>441</v>
      </c>
      <c r="I23" s="26" t="s">
        <v>442</v>
      </c>
      <c r="J23" s="26" t="s">
        <v>443</v>
      </c>
      <c r="K23" s="28" t="s">
        <v>444</v>
      </c>
      <c r="L23" s="28" t="s">
        <v>445</v>
      </c>
      <c r="M23" s="28" t="s">
        <v>446</v>
      </c>
      <c r="N23" s="28" t="s">
        <v>447</v>
      </c>
      <c r="O23" s="26" t="s">
        <v>448</v>
      </c>
      <c r="P23" s="29" t="s">
        <v>43</v>
      </c>
      <c r="Q23" s="26" t="s">
        <v>449</v>
      </c>
      <c r="R23" s="26" t="s">
        <v>450</v>
      </c>
      <c r="S23" s="26" t="s">
        <v>451</v>
      </c>
      <c r="T23" s="27" t="n">
        <v>4</v>
      </c>
      <c r="U23" s="26" t="s">
        <v>452</v>
      </c>
      <c r="V23" s="26" t="s">
        <v>354</v>
      </c>
      <c r="W23" s="26" t="s">
        <v>453</v>
      </c>
    </row>
    <row r="24" customFormat="false" ht="60" hidden="false" customHeight="true" outlineLevel="0" collapsed="false">
      <c r="A24" s="24" t="s">
        <v>454</v>
      </c>
      <c r="B24" s="25" t="s">
        <v>455</v>
      </c>
      <c r="C24" s="26" t="s">
        <v>456</v>
      </c>
      <c r="D24" s="27" t="s">
        <v>457</v>
      </c>
      <c r="E24" s="27" t="n">
        <f aca="false">COUNTIF(W3_FUNKCJE_MVP!$L$6:$L$400,$A24)</f>
        <v>4</v>
      </c>
      <c r="F24" s="26" t="s">
        <v>458</v>
      </c>
      <c r="G24" s="26" t="s">
        <v>459</v>
      </c>
      <c r="H24" s="26" t="s">
        <v>460</v>
      </c>
      <c r="I24" s="26" t="s">
        <v>461</v>
      </c>
      <c r="J24" s="26" t="s">
        <v>462</v>
      </c>
      <c r="K24" s="28" t="s">
        <v>463</v>
      </c>
      <c r="L24" s="28" t="s">
        <v>464</v>
      </c>
      <c r="M24" s="28" t="s">
        <v>465</v>
      </c>
      <c r="N24" s="28" t="s">
        <v>466</v>
      </c>
      <c r="O24" s="26" t="s">
        <v>467</v>
      </c>
      <c r="P24" s="30" t="s">
        <v>39</v>
      </c>
      <c r="Q24" s="26" t="s">
        <v>468</v>
      </c>
      <c r="R24" s="26" t="s">
        <v>469</v>
      </c>
      <c r="S24" s="26" t="s">
        <v>470</v>
      </c>
      <c r="T24" s="27" t="n">
        <v>5</v>
      </c>
      <c r="U24" s="26" t="s">
        <v>471</v>
      </c>
      <c r="V24" s="26" t="s">
        <v>472</v>
      </c>
      <c r="W24" s="26" t="s">
        <v>473</v>
      </c>
    </row>
    <row r="25" customFormat="false" ht="37.5" hidden="false" customHeight="true" outlineLevel="0" collapsed="false">
      <c r="A25" s="24" t="s">
        <v>474</v>
      </c>
      <c r="B25" s="25" t="s">
        <v>475</v>
      </c>
      <c r="C25" s="26" t="s">
        <v>476</v>
      </c>
      <c r="D25" s="27" t="s">
        <v>477</v>
      </c>
      <c r="E25" s="27" t="n">
        <f aca="false">COUNTIF(W3_FUNKCJE_MVP!$L$6:$L$400,$A25)</f>
        <v>2</v>
      </c>
      <c r="F25" s="26" t="s">
        <v>478</v>
      </c>
      <c r="G25" s="26" t="s">
        <v>479</v>
      </c>
      <c r="H25" s="26" t="s">
        <v>480</v>
      </c>
      <c r="I25" s="26" t="s">
        <v>151</v>
      </c>
      <c r="J25" s="26" t="s">
        <v>481</v>
      </c>
      <c r="K25" s="28" t="s">
        <v>482</v>
      </c>
      <c r="L25" s="28" t="s">
        <v>483</v>
      </c>
      <c r="M25" s="28" t="s">
        <v>484</v>
      </c>
      <c r="N25" s="28" t="s">
        <v>485</v>
      </c>
      <c r="O25" s="26" t="s">
        <v>486</v>
      </c>
      <c r="P25" s="30" t="s">
        <v>39</v>
      </c>
      <c r="Q25" s="26" t="s">
        <v>487</v>
      </c>
      <c r="R25" s="26" t="s">
        <v>488</v>
      </c>
      <c r="S25" s="26" t="s">
        <v>151</v>
      </c>
      <c r="T25" s="27" t="n">
        <v>5</v>
      </c>
      <c r="U25" s="26" t="s">
        <v>489</v>
      </c>
      <c r="V25" s="26" t="s">
        <v>490</v>
      </c>
      <c r="W25" s="26" t="s">
        <v>203</v>
      </c>
    </row>
    <row r="26" customFormat="false" ht="48.75" hidden="false" customHeight="true" outlineLevel="0" collapsed="false">
      <c r="A26" s="24" t="s">
        <v>491</v>
      </c>
      <c r="B26" s="25" t="s">
        <v>492</v>
      </c>
      <c r="C26" s="26" t="s">
        <v>493</v>
      </c>
      <c r="D26" s="27" t="s">
        <v>494</v>
      </c>
      <c r="E26" s="27" t="n">
        <f aca="false">COUNTIF(W3_FUNKCJE_MVP!$L$6:$L$400,$A26)</f>
        <v>2</v>
      </c>
      <c r="F26" s="26" t="s">
        <v>495</v>
      </c>
      <c r="G26" s="26" t="s">
        <v>496</v>
      </c>
      <c r="H26" s="26" t="s">
        <v>480</v>
      </c>
      <c r="I26" s="26" t="s">
        <v>151</v>
      </c>
      <c r="J26" s="26" t="s">
        <v>497</v>
      </c>
      <c r="K26" s="28" t="s">
        <v>498</v>
      </c>
      <c r="L26" s="28" t="s">
        <v>499</v>
      </c>
      <c r="M26" s="28" t="s">
        <v>500</v>
      </c>
      <c r="N26" s="28" t="s">
        <v>368</v>
      </c>
      <c r="O26" s="26" t="s">
        <v>501</v>
      </c>
      <c r="P26" s="30" t="s">
        <v>39</v>
      </c>
      <c r="Q26" s="26" t="s">
        <v>502</v>
      </c>
      <c r="R26" s="26" t="s">
        <v>503</v>
      </c>
      <c r="S26" s="26" t="s">
        <v>151</v>
      </c>
      <c r="T26" s="27" t="n">
        <v>5</v>
      </c>
      <c r="U26" s="26" t="s">
        <v>504</v>
      </c>
      <c r="V26" s="26" t="s">
        <v>505</v>
      </c>
      <c r="W26" s="26" t="s">
        <v>203</v>
      </c>
    </row>
    <row r="27" customFormat="false" ht="37.5" hidden="false" customHeight="true" outlineLevel="0" collapsed="false">
      <c r="A27" s="24" t="s">
        <v>506</v>
      </c>
      <c r="B27" s="25" t="s">
        <v>507</v>
      </c>
      <c r="C27" s="26" t="s">
        <v>508</v>
      </c>
      <c r="D27" s="27" t="s">
        <v>509</v>
      </c>
      <c r="E27" s="27" t="n">
        <f aca="false">COUNTIF(W3_FUNKCJE_MVP!$L$6:$L$400,$A27)</f>
        <v>3</v>
      </c>
      <c r="F27" s="26" t="s">
        <v>478</v>
      </c>
      <c r="G27" s="26" t="s">
        <v>510</v>
      </c>
      <c r="H27" s="26" t="s">
        <v>511</v>
      </c>
      <c r="I27" s="26" t="s">
        <v>151</v>
      </c>
      <c r="J27" s="26" t="s">
        <v>512</v>
      </c>
      <c r="K27" s="28" t="s">
        <v>513</v>
      </c>
      <c r="L27" s="28" t="s">
        <v>514</v>
      </c>
      <c r="M27" s="28" t="s">
        <v>515</v>
      </c>
      <c r="N27" s="28" t="s">
        <v>516</v>
      </c>
      <c r="O27" s="26" t="s">
        <v>517</v>
      </c>
      <c r="P27" s="31" t="s">
        <v>41</v>
      </c>
      <c r="Q27" s="26" t="s">
        <v>518</v>
      </c>
      <c r="R27" s="26" t="s">
        <v>519</v>
      </c>
      <c r="S27" s="26" t="s">
        <v>520</v>
      </c>
      <c r="T27" s="27" t="n">
        <v>5</v>
      </c>
      <c r="U27" s="26" t="s">
        <v>521</v>
      </c>
      <c r="V27" s="26" t="s">
        <v>522</v>
      </c>
      <c r="W27" s="26" t="s">
        <v>523</v>
      </c>
    </row>
    <row r="28" customFormat="false" ht="60" hidden="false" customHeight="true" outlineLevel="0" collapsed="false">
      <c r="A28" s="24" t="s">
        <v>524</v>
      </c>
      <c r="B28" s="25" t="s">
        <v>525</v>
      </c>
      <c r="C28" s="26" t="s">
        <v>526</v>
      </c>
      <c r="D28" s="27" t="s">
        <v>527</v>
      </c>
      <c r="E28" s="27" t="n">
        <f aca="false">COUNTIF(W3_FUNKCJE_MVP!$L$6:$L$400,$A28)</f>
        <v>1</v>
      </c>
      <c r="F28" s="26" t="s">
        <v>528</v>
      </c>
      <c r="G28" s="26" t="s">
        <v>529</v>
      </c>
      <c r="H28" s="26" t="s">
        <v>530</v>
      </c>
      <c r="I28" s="26" t="s">
        <v>531</v>
      </c>
      <c r="J28" s="26" t="s">
        <v>532</v>
      </c>
      <c r="K28" s="28" t="s">
        <v>533</v>
      </c>
      <c r="L28" s="28" t="s">
        <v>534</v>
      </c>
      <c r="M28" s="28" t="s">
        <v>535</v>
      </c>
      <c r="N28" s="28" t="s">
        <v>536</v>
      </c>
      <c r="O28" s="26" t="s">
        <v>537</v>
      </c>
      <c r="P28" s="29" t="s">
        <v>43</v>
      </c>
      <c r="Q28" s="26" t="s">
        <v>538</v>
      </c>
      <c r="R28" s="26" t="s">
        <v>539</v>
      </c>
      <c r="S28" s="26" t="s">
        <v>540</v>
      </c>
      <c r="T28" s="27" t="n">
        <v>5</v>
      </c>
      <c r="U28" s="26" t="s">
        <v>541</v>
      </c>
      <c r="V28" s="26" t="s">
        <v>354</v>
      </c>
      <c r="W28" s="26" t="s">
        <v>542</v>
      </c>
    </row>
    <row r="29" customFormat="false" ht="37.5" hidden="false" customHeight="true" outlineLevel="0" collapsed="false">
      <c r="A29" s="24" t="s">
        <v>543</v>
      </c>
      <c r="B29" s="25" t="s">
        <v>544</v>
      </c>
      <c r="C29" s="26" t="s">
        <v>545</v>
      </c>
      <c r="D29" s="27" t="s">
        <v>527</v>
      </c>
      <c r="E29" s="27" t="n">
        <f aca="false">COUNTIF(W3_FUNKCJE_MVP!$L$6:$L$400,$A29)</f>
        <v>2</v>
      </c>
      <c r="F29" s="26" t="s">
        <v>546</v>
      </c>
      <c r="G29" s="26" t="s">
        <v>547</v>
      </c>
      <c r="H29" s="26" t="s">
        <v>151</v>
      </c>
      <c r="I29" s="26" t="s">
        <v>548</v>
      </c>
      <c r="J29" s="26" t="s">
        <v>151</v>
      </c>
      <c r="K29" s="28" t="s">
        <v>549</v>
      </c>
      <c r="L29" s="28" t="s">
        <v>550</v>
      </c>
      <c r="M29" s="28" t="s">
        <v>551</v>
      </c>
      <c r="N29" s="28" t="s">
        <v>552</v>
      </c>
      <c r="O29" s="26" t="s">
        <v>553</v>
      </c>
      <c r="P29" s="29" t="s">
        <v>43</v>
      </c>
      <c r="Q29" s="26" t="s">
        <v>554</v>
      </c>
      <c r="R29" s="26" t="s">
        <v>555</v>
      </c>
      <c r="S29" s="26" t="s">
        <v>556</v>
      </c>
      <c r="T29" s="27" t="n">
        <v>5</v>
      </c>
      <c r="U29" s="26" t="s">
        <v>557</v>
      </c>
      <c r="V29" s="26" t="s">
        <v>354</v>
      </c>
      <c r="W29" s="26" t="s">
        <v>558</v>
      </c>
    </row>
    <row r="30" customFormat="false" ht="48.75" hidden="false" customHeight="true" outlineLevel="0" collapsed="false">
      <c r="A30" s="24" t="s">
        <v>559</v>
      </c>
      <c r="B30" s="25" t="s">
        <v>560</v>
      </c>
      <c r="C30" s="26" t="s">
        <v>561</v>
      </c>
      <c r="D30" s="27" t="s">
        <v>562</v>
      </c>
      <c r="E30" s="27" t="n">
        <f aca="false">COUNTIF(W3_FUNKCJE_MVP!$L$6:$L$400,$A30)</f>
        <v>1</v>
      </c>
      <c r="F30" s="26" t="s">
        <v>495</v>
      </c>
      <c r="G30" s="26" t="s">
        <v>563</v>
      </c>
      <c r="H30" s="26" t="s">
        <v>480</v>
      </c>
      <c r="I30" s="26" t="s">
        <v>151</v>
      </c>
      <c r="J30" s="26" t="s">
        <v>564</v>
      </c>
      <c r="K30" s="28" t="s">
        <v>565</v>
      </c>
      <c r="L30" s="28" t="s">
        <v>566</v>
      </c>
      <c r="M30" s="28" t="s">
        <v>484</v>
      </c>
      <c r="N30" s="28" t="s">
        <v>484</v>
      </c>
      <c r="O30" s="26" t="s">
        <v>567</v>
      </c>
      <c r="P30" s="30" t="s">
        <v>39</v>
      </c>
      <c r="Q30" s="26" t="s">
        <v>568</v>
      </c>
      <c r="R30" s="26" t="s">
        <v>569</v>
      </c>
      <c r="S30" s="26" t="s">
        <v>151</v>
      </c>
      <c r="T30" s="27" t="n">
        <v>5</v>
      </c>
      <c r="U30" s="26" t="s">
        <v>570</v>
      </c>
      <c r="V30" s="26" t="s">
        <v>571</v>
      </c>
      <c r="W30" s="26" t="s">
        <v>203</v>
      </c>
    </row>
    <row r="31" customFormat="false" ht="48.75" hidden="false" customHeight="true" outlineLevel="0" collapsed="false">
      <c r="A31" s="24" t="s">
        <v>572</v>
      </c>
      <c r="B31" s="25" t="s">
        <v>573</v>
      </c>
      <c r="C31" s="26" t="s">
        <v>574</v>
      </c>
      <c r="D31" s="27" t="s">
        <v>575</v>
      </c>
      <c r="E31" s="27" t="n">
        <f aca="false">COUNTIF(W3_FUNKCJE_MVP!$L$6:$L$400,$A31)</f>
        <v>2</v>
      </c>
      <c r="F31" s="26" t="s">
        <v>576</v>
      </c>
      <c r="G31" s="26" t="s">
        <v>151</v>
      </c>
      <c r="H31" s="26" t="s">
        <v>577</v>
      </c>
      <c r="I31" s="26" t="s">
        <v>578</v>
      </c>
      <c r="J31" s="26" t="s">
        <v>151</v>
      </c>
      <c r="K31" s="28" t="s">
        <v>579</v>
      </c>
      <c r="L31" s="28" t="s">
        <v>580</v>
      </c>
      <c r="M31" s="28" t="s">
        <v>581</v>
      </c>
      <c r="N31" s="28" t="s">
        <v>368</v>
      </c>
      <c r="O31" s="26" t="s">
        <v>582</v>
      </c>
      <c r="P31" s="31" t="s">
        <v>41</v>
      </c>
      <c r="Q31" s="26" t="s">
        <v>583</v>
      </c>
      <c r="R31" s="26" t="s">
        <v>584</v>
      </c>
      <c r="S31" s="26" t="s">
        <v>585</v>
      </c>
      <c r="T31" s="27" t="n">
        <v>3</v>
      </c>
      <c r="U31" s="26" t="s">
        <v>586</v>
      </c>
      <c r="V31" s="26" t="s">
        <v>587</v>
      </c>
      <c r="W31" s="26" t="s">
        <v>588</v>
      </c>
    </row>
    <row r="32" customFormat="false" ht="48.75" hidden="false" customHeight="true" outlineLevel="0" collapsed="false">
      <c r="A32" s="24" t="s">
        <v>589</v>
      </c>
      <c r="B32" s="25" t="s">
        <v>590</v>
      </c>
      <c r="C32" s="26" t="s">
        <v>591</v>
      </c>
      <c r="D32" s="27" t="s">
        <v>592</v>
      </c>
      <c r="E32" s="27" t="n">
        <f aca="false">COUNTIF(W3_FUNKCJE_MVP!$L$6:$L$400,$A32)</f>
        <v>2</v>
      </c>
      <c r="F32" s="26" t="s">
        <v>593</v>
      </c>
      <c r="G32" s="26" t="s">
        <v>594</v>
      </c>
      <c r="H32" s="26" t="s">
        <v>595</v>
      </c>
      <c r="I32" s="26" t="s">
        <v>596</v>
      </c>
      <c r="J32" s="26" t="s">
        <v>597</v>
      </c>
      <c r="K32" s="28" t="s">
        <v>598</v>
      </c>
      <c r="L32" s="28" t="s">
        <v>599</v>
      </c>
      <c r="M32" s="28" t="s">
        <v>600</v>
      </c>
      <c r="N32" s="28" t="s">
        <v>601</v>
      </c>
      <c r="O32" s="26" t="s">
        <v>602</v>
      </c>
      <c r="P32" s="29" t="s">
        <v>43</v>
      </c>
      <c r="Q32" s="26" t="s">
        <v>603</v>
      </c>
      <c r="R32" s="26" t="s">
        <v>604</v>
      </c>
      <c r="S32" s="26" t="s">
        <v>605</v>
      </c>
      <c r="T32" s="27" t="n">
        <v>5</v>
      </c>
      <c r="U32" s="26" t="s">
        <v>606</v>
      </c>
      <c r="V32" s="26" t="s">
        <v>607</v>
      </c>
      <c r="W32" s="26" t="s">
        <v>608</v>
      </c>
    </row>
    <row r="33" customFormat="false" ht="48.75" hidden="false" customHeight="true" outlineLevel="0" collapsed="false">
      <c r="A33" s="24" t="s">
        <v>609</v>
      </c>
      <c r="B33" s="25" t="s">
        <v>610</v>
      </c>
      <c r="C33" s="26" t="s">
        <v>611</v>
      </c>
      <c r="D33" s="27" t="s">
        <v>612</v>
      </c>
      <c r="E33" s="27" t="n">
        <f aca="false">COUNTIF(W3_FUNKCJE_MVP!$L$6:$L$400,$A33)</f>
        <v>7</v>
      </c>
      <c r="F33" s="26" t="s">
        <v>613</v>
      </c>
      <c r="G33" s="26" t="s">
        <v>614</v>
      </c>
      <c r="H33" s="26" t="s">
        <v>615</v>
      </c>
      <c r="I33" s="26" t="s">
        <v>616</v>
      </c>
      <c r="J33" s="26" t="s">
        <v>151</v>
      </c>
      <c r="K33" s="28" t="s">
        <v>617</v>
      </c>
      <c r="L33" s="28" t="s">
        <v>618</v>
      </c>
      <c r="M33" s="28" t="s">
        <v>619</v>
      </c>
      <c r="N33" s="28" t="s">
        <v>620</v>
      </c>
      <c r="O33" s="26" t="s">
        <v>621</v>
      </c>
      <c r="P33" s="31" t="s">
        <v>41</v>
      </c>
      <c r="Q33" s="26" t="s">
        <v>622</v>
      </c>
      <c r="R33" s="26" t="s">
        <v>623</v>
      </c>
      <c r="S33" s="26" t="s">
        <v>624</v>
      </c>
      <c r="T33" s="27" t="n">
        <v>4</v>
      </c>
      <c r="U33" s="26" t="s">
        <v>625</v>
      </c>
      <c r="V33" s="26" t="s">
        <v>626</v>
      </c>
      <c r="W33" s="26" t="s">
        <v>627</v>
      </c>
    </row>
    <row r="34" customFormat="false" ht="37.5" hidden="false" customHeight="true" outlineLevel="0" collapsed="false">
      <c r="A34" s="24" t="s">
        <v>628</v>
      </c>
      <c r="B34" s="25" t="s">
        <v>629</v>
      </c>
      <c r="C34" s="26" t="s">
        <v>630</v>
      </c>
      <c r="D34" s="27" t="s">
        <v>631</v>
      </c>
      <c r="E34" s="27" t="n">
        <f aca="false">COUNTIF(W3_FUNKCJE_MVP!$L$6:$L$400,$A34)</f>
        <v>1</v>
      </c>
      <c r="F34" s="26" t="s">
        <v>632</v>
      </c>
      <c r="G34" s="26" t="s">
        <v>151</v>
      </c>
      <c r="H34" s="26" t="s">
        <v>151</v>
      </c>
      <c r="I34" s="26" t="s">
        <v>633</v>
      </c>
      <c r="J34" s="26" t="s">
        <v>151</v>
      </c>
      <c r="K34" s="28" t="s">
        <v>151</v>
      </c>
      <c r="L34" s="28" t="s">
        <v>634</v>
      </c>
      <c r="M34" s="28" t="s">
        <v>635</v>
      </c>
      <c r="N34" s="28" t="s">
        <v>636</v>
      </c>
      <c r="O34" s="26" t="s">
        <v>637</v>
      </c>
      <c r="P34" s="30" t="s">
        <v>39</v>
      </c>
      <c r="Q34" s="26" t="s">
        <v>638</v>
      </c>
      <c r="R34" s="26" t="s">
        <v>639</v>
      </c>
      <c r="S34" s="26" t="s">
        <v>151</v>
      </c>
      <c r="T34" s="27" t="n">
        <v>3</v>
      </c>
      <c r="U34" s="26" t="s">
        <v>640</v>
      </c>
      <c r="V34" s="26" t="s">
        <v>354</v>
      </c>
      <c r="W34" s="26" t="s">
        <v>641</v>
      </c>
    </row>
    <row r="35" customFormat="false" ht="37.5" hidden="false" customHeight="true" outlineLevel="0" collapsed="false">
      <c r="A35" s="24" t="s">
        <v>642</v>
      </c>
      <c r="B35" s="25" t="s">
        <v>643</v>
      </c>
      <c r="C35" s="26" t="s">
        <v>644</v>
      </c>
      <c r="D35" s="27" t="s">
        <v>645</v>
      </c>
      <c r="E35" s="27" t="n">
        <f aca="false">COUNTIF(W3_FUNKCJE_MVP!$L$6:$L$400,$A35)</f>
        <v>2</v>
      </c>
      <c r="F35" s="26" t="s">
        <v>632</v>
      </c>
      <c r="G35" s="26" t="s">
        <v>151</v>
      </c>
      <c r="H35" s="26" t="s">
        <v>646</v>
      </c>
      <c r="I35" s="26" t="s">
        <v>647</v>
      </c>
      <c r="J35" s="26" t="s">
        <v>151</v>
      </c>
      <c r="K35" s="28" t="s">
        <v>648</v>
      </c>
      <c r="L35" s="28" t="s">
        <v>649</v>
      </c>
      <c r="M35" s="28" t="s">
        <v>650</v>
      </c>
      <c r="N35" s="28" t="s">
        <v>368</v>
      </c>
      <c r="O35" s="26" t="s">
        <v>651</v>
      </c>
      <c r="P35" s="30" t="s">
        <v>39</v>
      </c>
      <c r="Q35" s="26" t="s">
        <v>652</v>
      </c>
      <c r="R35" s="26" t="s">
        <v>653</v>
      </c>
      <c r="S35" s="26" t="s">
        <v>151</v>
      </c>
      <c r="T35" s="27" t="n">
        <v>4</v>
      </c>
      <c r="U35" s="26" t="s">
        <v>654</v>
      </c>
      <c r="V35" s="26" t="s">
        <v>655</v>
      </c>
      <c r="W35" s="26" t="s">
        <v>656</v>
      </c>
    </row>
    <row r="36" customFormat="false" ht="37.5" hidden="false" customHeight="true" outlineLevel="0" collapsed="false">
      <c r="A36" s="24" t="s">
        <v>657</v>
      </c>
      <c r="B36" s="25" t="s">
        <v>658</v>
      </c>
      <c r="C36" s="26" t="s">
        <v>659</v>
      </c>
      <c r="D36" s="27" t="s">
        <v>660</v>
      </c>
      <c r="E36" s="27" t="n">
        <f aca="false">COUNTIF(W3_FUNKCJE_MVP!$L$6:$L$400,$A36)</f>
        <v>1</v>
      </c>
      <c r="F36" s="26" t="s">
        <v>661</v>
      </c>
      <c r="G36" s="26" t="s">
        <v>151</v>
      </c>
      <c r="H36" s="26" t="s">
        <v>662</v>
      </c>
      <c r="I36" s="26" t="s">
        <v>663</v>
      </c>
      <c r="J36" s="26" t="s">
        <v>664</v>
      </c>
      <c r="K36" s="28" t="s">
        <v>151</v>
      </c>
      <c r="L36" s="28" t="s">
        <v>665</v>
      </c>
      <c r="M36" s="28" t="s">
        <v>666</v>
      </c>
      <c r="N36" s="28" t="s">
        <v>368</v>
      </c>
      <c r="O36" s="26" t="s">
        <v>667</v>
      </c>
      <c r="P36" s="30" t="s">
        <v>39</v>
      </c>
      <c r="Q36" s="26" t="s">
        <v>668</v>
      </c>
      <c r="R36" s="26" t="s">
        <v>669</v>
      </c>
      <c r="S36" s="26" t="s">
        <v>151</v>
      </c>
      <c r="T36" s="27" t="n">
        <v>5</v>
      </c>
      <c r="U36" s="26" t="s">
        <v>670</v>
      </c>
      <c r="V36" s="26" t="s">
        <v>671</v>
      </c>
      <c r="W36" s="26" t="s">
        <v>203</v>
      </c>
    </row>
    <row r="37" customFormat="false" ht="48.75" hidden="false" customHeight="true" outlineLevel="0" collapsed="false">
      <c r="A37" s="24" t="s">
        <v>672</v>
      </c>
      <c r="B37" s="25" t="s">
        <v>673</v>
      </c>
      <c r="C37" s="26" t="s">
        <v>674</v>
      </c>
      <c r="D37" s="27" t="s">
        <v>675</v>
      </c>
      <c r="E37" s="27" t="n">
        <f aca="false">COUNTIF(W3_FUNKCJE_MVP!$L$6:$L$400,$A37)</f>
        <v>5</v>
      </c>
      <c r="F37" s="26" t="s">
        <v>676</v>
      </c>
      <c r="G37" s="26" t="s">
        <v>151</v>
      </c>
      <c r="H37" s="26" t="s">
        <v>677</v>
      </c>
      <c r="I37" s="26" t="s">
        <v>678</v>
      </c>
      <c r="J37" s="26" t="s">
        <v>151</v>
      </c>
      <c r="K37" s="28" t="s">
        <v>679</v>
      </c>
      <c r="L37" s="28" t="s">
        <v>680</v>
      </c>
      <c r="M37" s="28" t="s">
        <v>681</v>
      </c>
      <c r="N37" s="28" t="s">
        <v>368</v>
      </c>
      <c r="O37" s="26" t="s">
        <v>682</v>
      </c>
      <c r="P37" s="31" t="s">
        <v>41</v>
      </c>
      <c r="Q37" s="26" t="s">
        <v>683</v>
      </c>
      <c r="R37" s="26" t="s">
        <v>684</v>
      </c>
      <c r="S37" s="26" t="s">
        <v>685</v>
      </c>
      <c r="T37" s="27" t="n">
        <v>3</v>
      </c>
      <c r="U37" s="26" t="s">
        <v>686</v>
      </c>
      <c r="V37" s="26" t="s">
        <v>687</v>
      </c>
      <c r="W37" s="26" t="s">
        <v>688</v>
      </c>
    </row>
    <row r="38" customFormat="false" ht="25.5" hidden="false" customHeight="true" outlineLevel="0" collapsed="false">
      <c r="A38" s="24" t="s">
        <v>689</v>
      </c>
      <c r="B38" s="25" t="s">
        <v>690</v>
      </c>
      <c r="C38" s="26" t="s">
        <v>691</v>
      </c>
      <c r="D38" s="27" t="s">
        <v>692</v>
      </c>
      <c r="E38" s="27" t="n">
        <f aca="false">COUNTIF(W3_FUNKCJE_MVP!$L$6:$L$400,$A38)</f>
        <v>1</v>
      </c>
      <c r="F38" s="26" t="s">
        <v>693</v>
      </c>
      <c r="G38" s="26" t="s">
        <v>694</v>
      </c>
      <c r="H38" s="26" t="s">
        <v>695</v>
      </c>
      <c r="I38" s="26" t="s">
        <v>696</v>
      </c>
      <c r="J38" s="26" t="s">
        <v>697</v>
      </c>
      <c r="K38" s="28" t="s">
        <v>698</v>
      </c>
      <c r="L38" s="28" t="s">
        <v>699</v>
      </c>
      <c r="M38" s="28" t="s">
        <v>700</v>
      </c>
      <c r="N38" s="28" t="s">
        <v>701</v>
      </c>
      <c r="O38" s="26" t="s">
        <v>702</v>
      </c>
      <c r="P38" s="30" t="s">
        <v>39</v>
      </c>
      <c r="Q38" s="26" t="s">
        <v>502</v>
      </c>
      <c r="R38" s="26" t="s">
        <v>703</v>
      </c>
      <c r="S38" s="26" t="s">
        <v>151</v>
      </c>
      <c r="T38" s="27" t="n">
        <v>5</v>
      </c>
      <c r="U38" s="26" t="s">
        <v>704</v>
      </c>
      <c r="V38" s="26" t="s">
        <v>705</v>
      </c>
      <c r="W38" s="26" t="s">
        <v>203</v>
      </c>
    </row>
    <row r="39" customFormat="false" ht="37.5" hidden="false" customHeight="true" outlineLevel="0" collapsed="false">
      <c r="A39" s="24" t="s">
        <v>706</v>
      </c>
      <c r="B39" s="25" t="s">
        <v>707</v>
      </c>
      <c r="C39" s="26" t="s">
        <v>708</v>
      </c>
      <c r="D39" s="27" t="s">
        <v>692</v>
      </c>
      <c r="E39" s="27" t="n">
        <f aca="false">COUNTIF(W3_FUNKCJE_MVP!$L$6:$L$400,$A39)</f>
        <v>1</v>
      </c>
      <c r="F39" s="26" t="s">
        <v>709</v>
      </c>
      <c r="G39" s="26" t="s">
        <v>710</v>
      </c>
      <c r="H39" s="26" t="s">
        <v>151</v>
      </c>
      <c r="I39" s="26" t="s">
        <v>711</v>
      </c>
      <c r="J39" s="26" t="s">
        <v>712</v>
      </c>
      <c r="K39" s="28" t="s">
        <v>713</v>
      </c>
      <c r="L39" s="28" t="s">
        <v>714</v>
      </c>
      <c r="M39" s="28" t="s">
        <v>715</v>
      </c>
      <c r="N39" s="28" t="s">
        <v>716</v>
      </c>
      <c r="O39" s="26" t="s">
        <v>717</v>
      </c>
      <c r="P39" s="30" t="s">
        <v>39</v>
      </c>
      <c r="Q39" s="26" t="s">
        <v>718</v>
      </c>
      <c r="R39" s="26" t="s">
        <v>719</v>
      </c>
      <c r="S39" s="26" t="s">
        <v>720</v>
      </c>
      <c r="T39" s="27" t="n">
        <v>5</v>
      </c>
      <c r="U39" s="26" t="s">
        <v>721</v>
      </c>
      <c r="V39" s="26" t="s">
        <v>722</v>
      </c>
      <c r="W39" s="26" t="s">
        <v>723</v>
      </c>
    </row>
    <row r="40" customFormat="false" ht="25.5" hidden="false" customHeight="true" outlineLevel="0" collapsed="false">
      <c r="A40" s="24" t="s">
        <v>724</v>
      </c>
      <c r="B40" s="25" t="s">
        <v>725</v>
      </c>
      <c r="C40" s="26" t="s">
        <v>726</v>
      </c>
      <c r="D40" s="27" t="s">
        <v>727</v>
      </c>
      <c r="E40" s="27" t="n">
        <f aca="false">COUNTIF(W3_FUNKCJE_MVP!$L$6:$L$400,$A40)</f>
        <v>2</v>
      </c>
      <c r="F40" s="26" t="s">
        <v>478</v>
      </c>
      <c r="G40" s="26" t="s">
        <v>728</v>
      </c>
      <c r="H40" s="26" t="s">
        <v>480</v>
      </c>
      <c r="I40" s="26" t="s">
        <v>729</v>
      </c>
      <c r="J40" s="26" t="s">
        <v>730</v>
      </c>
      <c r="K40" s="28" t="s">
        <v>731</v>
      </c>
      <c r="L40" s="28" t="s">
        <v>732</v>
      </c>
      <c r="M40" s="28" t="s">
        <v>484</v>
      </c>
      <c r="N40" s="28" t="s">
        <v>484</v>
      </c>
      <c r="O40" s="26" t="s">
        <v>733</v>
      </c>
      <c r="P40" s="30" t="s">
        <v>39</v>
      </c>
      <c r="Q40" s="26" t="s">
        <v>502</v>
      </c>
      <c r="R40" s="26" t="s">
        <v>734</v>
      </c>
      <c r="S40" s="26" t="s">
        <v>151</v>
      </c>
      <c r="T40" s="27" t="n">
        <v>5</v>
      </c>
      <c r="U40" s="26" t="s">
        <v>735</v>
      </c>
      <c r="V40" s="26" t="s">
        <v>736</v>
      </c>
      <c r="W40" s="26" t="s">
        <v>737</v>
      </c>
    </row>
    <row r="41" customFormat="false" ht="60" hidden="false" customHeight="true" outlineLevel="0" collapsed="false">
      <c r="A41" s="24" t="s">
        <v>738</v>
      </c>
      <c r="B41" s="25" t="s">
        <v>739</v>
      </c>
      <c r="C41" s="26" t="s">
        <v>740</v>
      </c>
      <c r="D41" s="27" t="s">
        <v>741</v>
      </c>
      <c r="E41" s="27" t="n">
        <f aca="false">COUNTIF(W3_FUNKCJE_MVP!$L$6:$L$400,$A41)</f>
        <v>1</v>
      </c>
      <c r="F41" s="26" t="s">
        <v>742</v>
      </c>
      <c r="G41" s="26" t="s">
        <v>743</v>
      </c>
      <c r="H41" s="26" t="s">
        <v>744</v>
      </c>
      <c r="I41" s="26" t="s">
        <v>151</v>
      </c>
      <c r="J41" s="26" t="s">
        <v>745</v>
      </c>
      <c r="K41" s="28" t="s">
        <v>746</v>
      </c>
      <c r="L41" s="28" t="s">
        <v>747</v>
      </c>
      <c r="M41" s="28" t="s">
        <v>748</v>
      </c>
      <c r="N41" s="28" t="s">
        <v>749</v>
      </c>
      <c r="O41" s="26" t="s">
        <v>750</v>
      </c>
      <c r="P41" s="29" t="s">
        <v>43</v>
      </c>
      <c r="Q41" s="26" t="s">
        <v>751</v>
      </c>
      <c r="R41" s="26" t="s">
        <v>752</v>
      </c>
      <c r="S41" s="26" t="s">
        <v>151</v>
      </c>
      <c r="T41" s="27" t="n">
        <v>5</v>
      </c>
      <c r="U41" s="26" t="s">
        <v>753</v>
      </c>
      <c r="V41" s="26" t="s">
        <v>754</v>
      </c>
      <c r="W41" s="26" t="s">
        <v>755</v>
      </c>
    </row>
    <row r="42" customFormat="false" ht="37.5" hidden="false" customHeight="true" outlineLevel="0" collapsed="false">
      <c r="A42" s="24" t="s">
        <v>756</v>
      </c>
      <c r="B42" s="25" t="s">
        <v>757</v>
      </c>
      <c r="C42" s="26" t="s">
        <v>758</v>
      </c>
      <c r="D42" s="27" t="s">
        <v>741</v>
      </c>
      <c r="E42" s="27" t="n">
        <f aca="false">COUNTIF(W3_FUNKCJE_MVP!$L$6:$L$400,$A42)</f>
        <v>1</v>
      </c>
      <c r="F42" s="26" t="s">
        <v>759</v>
      </c>
      <c r="G42" s="26" t="s">
        <v>760</v>
      </c>
      <c r="H42" s="26" t="s">
        <v>761</v>
      </c>
      <c r="I42" s="26" t="s">
        <v>762</v>
      </c>
      <c r="J42" s="26" t="s">
        <v>763</v>
      </c>
      <c r="K42" s="28" t="s">
        <v>764</v>
      </c>
      <c r="L42" s="28" t="s">
        <v>765</v>
      </c>
      <c r="M42" s="28" t="s">
        <v>766</v>
      </c>
      <c r="N42" s="28" t="s">
        <v>368</v>
      </c>
      <c r="O42" s="26" t="s">
        <v>767</v>
      </c>
      <c r="P42" s="30" t="s">
        <v>39</v>
      </c>
      <c r="Q42" s="26" t="s">
        <v>502</v>
      </c>
      <c r="R42" s="26" t="s">
        <v>768</v>
      </c>
      <c r="S42" s="26" t="s">
        <v>769</v>
      </c>
      <c r="T42" s="27" t="n">
        <v>5</v>
      </c>
      <c r="U42" s="26" t="s">
        <v>770</v>
      </c>
      <c r="V42" s="26" t="s">
        <v>354</v>
      </c>
      <c r="W42" s="26" t="s">
        <v>771</v>
      </c>
    </row>
    <row r="43" customFormat="false" ht="37.5" hidden="false" customHeight="true" outlineLevel="0" collapsed="false">
      <c r="A43" s="24" t="s">
        <v>772</v>
      </c>
      <c r="B43" s="25" t="s">
        <v>773</v>
      </c>
      <c r="C43" s="26" t="s">
        <v>774</v>
      </c>
      <c r="D43" s="27" t="s">
        <v>775</v>
      </c>
      <c r="E43" s="27" t="n">
        <f aca="false">COUNTIF(W3_FUNKCJE_MVP!$L$6:$L$400,$A43)</f>
        <v>1</v>
      </c>
      <c r="F43" s="26" t="s">
        <v>478</v>
      </c>
      <c r="G43" s="26" t="s">
        <v>776</v>
      </c>
      <c r="H43" s="26" t="s">
        <v>480</v>
      </c>
      <c r="I43" s="26" t="s">
        <v>777</v>
      </c>
      <c r="J43" s="26" t="s">
        <v>151</v>
      </c>
      <c r="K43" s="28" t="s">
        <v>151</v>
      </c>
      <c r="L43" s="28" t="s">
        <v>778</v>
      </c>
      <c r="M43" s="28" t="s">
        <v>779</v>
      </c>
      <c r="N43" s="28" t="s">
        <v>780</v>
      </c>
      <c r="O43" s="26" t="s">
        <v>781</v>
      </c>
      <c r="P43" s="29" t="s">
        <v>43</v>
      </c>
      <c r="Q43" s="26" t="s">
        <v>782</v>
      </c>
      <c r="R43" s="26" t="s">
        <v>783</v>
      </c>
      <c r="S43" s="26" t="s">
        <v>784</v>
      </c>
      <c r="T43" s="27" t="n">
        <v>5</v>
      </c>
      <c r="U43" s="26" t="s">
        <v>785</v>
      </c>
      <c r="V43" s="26" t="s">
        <v>354</v>
      </c>
      <c r="W43" s="26" t="s">
        <v>786</v>
      </c>
    </row>
    <row r="44" customFormat="false" ht="72" hidden="false" customHeight="true" outlineLevel="0" collapsed="false">
      <c r="A44" s="24" t="s">
        <v>787</v>
      </c>
      <c r="B44" s="25" t="s">
        <v>788</v>
      </c>
      <c r="C44" s="26" t="s">
        <v>789</v>
      </c>
      <c r="D44" s="27" t="s">
        <v>790</v>
      </c>
      <c r="E44" s="27" t="n">
        <f aca="false">COUNTIF(W3_FUNKCJE_MVP!$L$6:$L$400,$A44)</f>
        <v>2</v>
      </c>
      <c r="F44" s="26" t="s">
        <v>791</v>
      </c>
      <c r="G44" s="26" t="s">
        <v>151</v>
      </c>
      <c r="H44" s="26" t="s">
        <v>151</v>
      </c>
      <c r="I44" s="26" t="s">
        <v>792</v>
      </c>
      <c r="J44" s="26" t="s">
        <v>151</v>
      </c>
      <c r="K44" s="28" t="s">
        <v>151</v>
      </c>
      <c r="L44" s="28" t="s">
        <v>793</v>
      </c>
      <c r="M44" s="28" t="s">
        <v>794</v>
      </c>
      <c r="N44" s="28" t="s">
        <v>368</v>
      </c>
      <c r="O44" s="26" t="s">
        <v>795</v>
      </c>
      <c r="P44" s="30" t="s">
        <v>39</v>
      </c>
      <c r="Q44" s="26" t="s">
        <v>796</v>
      </c>
      <c r="R44" s="26" t="s">
        <v>797</v>
      </c>
      <c r="S44" s="26" t="s">
        <v>151</v>
      </c>
      <c r="T44" s="27" t="n">
        <v>3</v>
      </c>
      <c r="U44" s="26" t="s">
        <v>798</v>
      </c>
      <c r="V44" s="26" t="s">
        <v>799</v>
      </c>
      <c r="W44" s="26" t="s">
        <v>800</v>
      </c>
    </row>
    <row r="45" customFormat="false" ht="25.5" hidden="false" customHeight="true" outlineLevel="0" collapsed="false">
      <c r="A45" s="24" t="s">
        <v>801</v>
      </c>
      <c r="B45" s="25" t="s">
        <v>802</v>
      </c>
      <c r="C45" s="26" t="s">
        <v>803</v>
      </c>
      <c r="D45" s="27" t="s">
        <v>804</v>
      </c>
      <c r="E45" s="27" t="n">
        <f aca="false">COUNTIF(W3_FUNKCJE_MVP!$L$6:$L$400,$A45)</f>
        <v>1</v>
      </c>
      <c r="F45" s="26" t="s">
        <v>805</v>
      </c>
      <c r="G45" s="26" t="s">
        <v>806</v>
      </c>
      <c r="H45" s="26" t="s">
        <v>807</v>
      </c>
      <c r="I45" s="26" t="s">
        <v>151</v>
      </c>
      <c r="J45" s="26" t="s">
        <v>151</v>
      </c>
      <c r="K45" s="28" t="s">
        <v>807</v>
      </c>
      <c r="L45" s="28" t="s">
        <v>808</v>
      </c>
      <c r="M45" s="28" t="s">
        <v>809</v>
      </c>
      <c r="N45" s="28" t="s">
        <v>368</v>
      </c>
      <c r="O45" s="26" t="s">
        <v>810</v>
      </c>
      <c r="P45" s="30" t="s">
        <v>39</v>
      </c>
      <c r="Q45" s="26" t="s">
        <v>502</v>
      </c>
      <c r="R45" s="26" t="s">
        <v>811</v>
      </c>
      <c r="S45" s="26" t="s">
        <v>151</v>
      </c>
      <c r="T45" s="27" t="n">
        <v>5</v>
      </c>
      <c r="U45" s="26" t="s">
        <v>812</v>
      </c>
      <c r="V45" s="26" t="s">
        <v>813</v>
      </c>
      <c r="W45" s="26" t="s">
        <v>203</v>
      </c>
    </row>
    <row r="46" customFormat="false" ht="25.5" hidden="false" customHeight="true" outlineLevel="0" collapsed="false">
      <c r="A46" s="24" t="s">
        <v>814</v>
      </c>
      <c r="B46" s="25" t="s">
        <v>815</v>
      </c>
      <c r="C46" s="26" t="s">
        <v>816</v>
      </c>
      <c r="D46" s="27" t="s">
        <v>817</v>
      </c>
      <c r="E46" s="27" t="n">
        <f aca="false">COUNTIF(W3_FUNKCJE_MVP!$L$6:$L$400,$A46)</f>
        <v>1</v>
      </c>
      <c r="F46" s="26" t="s">
        <v>818</v>
      </c>
      <c r="G46" s="26" t="s">
        <v>819</v>
      </c>
      <c r="H46" s="26" t="s">
        <v>820</v>
      </c>
      <c r="I46" s="26" t="s">
        <v>151</v>
      </c>
      <c r="J46" s="26" t="s">
        <v>821</v>
      </c>
      <c r="K46" s="28" t="s">
        <v>822</v>
      </c>
      <c r="L46" s="28" t="s">
        <v>823</v>
      </c>
      <c r="M46" s="28" t="s">
        <v>824</v>
      </c>
      <c r="N46" s="28" t="s">
        <v>368</v>
      </c>
      <c r="O46" s="26" t="s">
        <v>825</v>
      </c>
      <c r="P46" s="30" t="s">
        <v>39</v>
      </c>
      <c r="Q46" s="26" t="s">
        <v>826</v>
      </c>
      <c r="R46" s="26" t="s">
        <v>827</v>
      </c>
      <c r="S46" s="26" t="s">
        <v>151</v>
      </c>
      <c r="T46" s="27" t="n">
        <v>4</v>
      </c>
      <c r="U46" s="26" t="s">
        <v>828</v>
      </c>
      <c r="V46" s="26" t="s">
        <v>354</v>
      </c>
      <c r="W46" s="26" t="s">
        <v>829</v>
      </c>
    </row>
    <row r="47" customFormat="false" ht="25.5" hidden="false" customHeight="true" outlineLevel="0" collapsed="false">
      <c r="A47" s="24" t="s">
        <v>830</v>
      </c>
      <c r="B47" s="25" t="s">
        <v>831</v>
      </c>
      <c r="C47" s="26" t="s">
        <v>832</v>
      </c>
      <c r="D47" s="27" t="s">
        <v>833</v>
      </c>
      <c r="E47" s="27" t="n">
        <f aca="false">COUNTIF(W3_FUNKCJE_MVP!$L$6:$L$400,$A47)</f>
        <v>1</v>
      </c>
      <c r="F47" s="26" t="s">
        <v>834</v>
      </c>
      <c r="G47" s="26" t="s">
        <v>151</v>
      </c>
      <c r="H47" s="26" t="s">
        <v>835</v>
      </c>
      <c r="I47" s="26" t="s">
        <v>151</v>
      </c>
      <c r="J47" s="26" t="s">
        <v>151</v>
      </c>
      <c r="K47" s="28" t="s">
        <v>151</v>
      </c>
      <c r="L47" s="28" t="s">
        <v>836</v>
      </c>
      <c r="M47" s="28" t="s">
        <v>484</v>
      </c>
      <c r="N47" s="28" t="s">
        <v>484</v>
      </c>
      <c r="O47" s="26" t="s">
        <v>837</v>
      </c>
      <c r="P47" s="30" t="s">
        <v>39</v>
      </c>
      <c r="Q47" s="26" t="s">
        <v>502</v>
      </c>
      <c r="R47" s="26" t="s">
        <v>838</v>
      </c>
      <c r="S47" s="26" t="s">
        <v>151</v>
      </c>
      <c r="T47" s="27" t="n">
        <v>5</v>
      </c>
      <c r="U47" s="26" t="s">
        <v>151</v>
      </c>
      <c r="V47" s="26" t="s">
        <v>354</v>
      </c>
      <c r="W47" s="26" t="s">
        <v>829</v>
      </c>
    </row>
    <row r="48" customFormat="false" ht="48.75" hidden="false" customHeight="true" outlineLevel="0" collapsed="false">
      <c r="A48" s="24" t="s">
        <v>839</v>
      </c>
      <c r="B48" s="25" t="s">
        <v>840</v>
      </c>
      <c r="C48" s="26" t="s">
        <v>841</v>
      </c>
      <c r="D48" s="27" t="s">
        <v>842</v>
      </c>
      <c r="E48" s="27" t="n">
        <f aca="false">COUNTIF(W3_FUNKCJE_MVP!$L$6:$L$400,$A48)</f>
        <v>6</v>
      </c>
      <c r="F48" s="26" t="s">
        <v>843</v>
      </c>
      <c r="G48" s="26" t="s">
        <v>844</v>
      </c>
      <c r="H48" s="26" t="s">
        <v>845</v>
      </c>
      <c r="I48" s="26" t="s">
        <v>151</v>
      </c>
      <c r="J48" s="26" t="s">
        <v>846</v>
      </c>
      <c r="K48" s="28" t="s">
        <v>151</v>
      </c>
      <c r="L48" s="28" t="s">
        <v>847</v>
      </c>
      <c r="M48" s="28" t="s">
        <v>848</v>
      </c>
      <c r="N48" s="28" t="s">
        <v>368</v>
      </c>
      <c r="O48" s="26" t="s">
        <v>849</v>
      </c>
      <c r="P48" s="31" t="s">
        <v>41</v>
      </c>
      <c r="Q48" s="26" t="s">
        <v>850</v>
      </c>
      <c r="R48" s="26" t="s">
        <v>851</v>
      </c>
      <c r="S48" s="26" t="s">
        <v>852</v>
      </c>
      <c r="T48" s="27" t="n">
        <v>5</v>
      </c>
      <c r="U48" s="26" t="s">
        <v>853</v>
      </c>
      <c r="V48" s="26" t="s">
        <v>354</v>
      </c>
      <c r="W48" s="26" t="s">
        <v>854</v>
      </c>
    </row>
    <row r="49" customFormat="false" ht="25.5" hidden="false" customHeight="true" outlineLevel="0" collapsed="false">
      <c r="A49" s="24" t="s">
        <v>855</v>
      </c>
      <c r="B49" s="25" t="s">
        <v>856</v>
      </c>
      <c r="C49" s="26" t="s">
        <v>857</v>
      </c>
      <c r="D49" s="27" t="s">
        <v>858</v>
      </c>
      <c r="E49" s="27" t="n">
        <f aca="false">COUNTIF(W3_FUNKCJE_MVP!$L$6:$L$400,$A49)</f>
        <v>3</v>
      </c>
      <c r="F49" s="26" t="s">
        <v>859</v>
      </c>
      <c r="G49" s="26" t="s">
        <v>151</v>
      </c>
      <c r="H49" s="26" t="s">
        <v>151</v>
      </c>
      <c r="I49" s="26" t="s">
        <v>151</v>
      </c>
      <c r="J49" s="26" t="s">
        <v>860</v>
      </c>
      <c r="K49" s="28" t="s">
        <v>151</v>
      </c>
      <c r="L49" s="28" t="s">
        <v>861</v>
      </c>
      <c r="M49" s="28" t="s">
        <v>484</v>
      </c>
      <c r="N49" s="28" t="s">
        <v>484</v>
      </c>
      <c r="O49" s="26" t="s">
        <v>862</v>
      </c>
      <c r="P49" s="30" t="s">
        <v>39</v>
      </c>
      <c r="Q49" s="26" t="s">
        <v>502</v>
      </c>
      <c r="R49" s="26" t="s">
        <v>863</v>
      </c>
      <c r="S49" s="26" t="s">
        <v>151</v>
      </c>
      <c r="T49" s="27" t="n">
        <v>5</v>
      </c>
      <c r="U49" s="26" t="s">
        <v>864</v>
      </c>
      <c r="V49" s="26" t="s">
        <v>354</v>
      </c>
      <c r="W49" s="26" t="s">
        <v>829</v>
      </c>
    </row>
    <row r="50" customFormat="false" ht="37.5" hidden="false" customHeight="true" outlineLevel="0" collapsed="false">
      <c r="A50" s="24" t="s">
        <v>865</v>
      </c>
      <c r="B50" s="25" t="s">
        <v>866</v>
      </c>
      <c r="C50" s="26" t="s">
        <v>867</v>
      </c>
      <c r="D50" s="27" t="s">
        <v>868</v>
      </c>
      <c r="E50" s="27" t="n">
        <f aca="false">COUNTIF(W3_FUNKCJE_MVP!$L$6:$L$400,$A50)</f>
        <v>1</v>
      </c>
      <c r="F50" s="26" t="s">
        <v>869</v>
      </c>
      <c r="G50" s="26" t="s">
        <v>870</v>
      </c>
      <c r="H50" s="26" t="s">
        <v>151</v>
      </c>
      <c r="I50" s="26" t="s">
        <v>871</v>
      </c>
      <c r="J50" s="26" t="s">
        <v>872</v>
      </c>
      <c r="K50" s="28" t="s">
        <v>151</v>
      </c>
      <c r="L50" s="28" t="s">
        <v>873</v>
      </c>
      <c r="M50" s="28" t="s">
        <v>874</v>
      </c>
      <c r="N50" s="28" t="s">
        <v>368</v>
      </c>
      <c r="O50" s="26" t="s">
        <v>875</v>
      </c>
      <c r="P50" s="31" t="s">
        <v>41</v>
      </c>
      <c r="Q50" s="26" t="s">
        <v>876</v>
      </c>
      <c r="R50" s="26" t="s">
        <v>877</v>
      </c>
      <c r="S50" s="26" t="s">
        <v>878</v>
      </c>
      <c r="T50" s="27" t="n">
        <v>4</v>
      </c>
      <c r="U50" s="26" t="s">
        <v>879</v>
      </c>
      <c r="V50" s="26" t="s">
        <v>354</v>
      </c>
      <c r="W50" s="26" t="s">
        <v>880</v>
      </c>
    </row>
    <row r="51" customFormat="false" ht="25.5" hidden="false" customHeight="true" outlineLevel="0" collapsed="false">
      <c r="A51" s="24" t="s">
        <v>881</v>
      </c>
      <c r="B51" s="25" t="s">
        <v>882</v>
      </c>
      <c r="C51" s="26" t="s">
        <v>883</v>
      </c>
      <c r="D51" s="27" t="s">
        <v>884</v>
      </c>
      <c r="E51" s="27" t="n">
        <f aca="false">COUNTIF(W3_FUNKCJE_MVP!$L$6:$L$400,$A51)</f>
        <v>1</v>
      </c>
      <c r="F51" s="26" t="s">
        <v>885</v>
      </c>
      <c r="G51" s="26" t="s">
        <v>886</v>
      </c>
      <c r="H51" s="26" t="s">
        <v>887</v>
      </c>
      <c r="I51" s="26" t="s">
        <v>151</v>
      </c>
      <c r="J51" s="26" t="s">
        <v>151</v>
      </c>
      <c r="K51" s="28" t="s">
        <v>151</v>
      </c>
      <c r="L51" s="28" t="s">
        <v>888</v>
      </c>
      <c r="M51" s="28" t="s">
        <v>484</v>
      </c>
      <c r="N51" s="28" t="s">
        <v>484</v>
      </c>
      <c r="O51" s="26" t="s">
        <v>889</v>
      </c>
      <c r="P51" s="30" t="s">
        <v>39</v>
      </c>
      <c r="Q51" s="26" t="s">
        <v>502</v>
      </c>
      <c r="R51" s="26" t="s">
        <v>890</v>
      </c>
      <c r="S51" s="26" t="s">
        <v>151</v>
      </c>
      <c r="T51" s="27" t="n">
        <v>5</v>
      </c>
      <c r="U51" s="26" t="s">
        <v>891</v>
      </c>
      <c r="V51" s="26" t="s">
        <v>354</v>
      </c>
      <c r="W51" s="26" t="s">
        <v>829</v>
      </c>
    </row>
    <row r="52" customFormat="false" ht="25.5" hidden="false" customHeight="true" outlineLevel="0" collapsed="false">
      <c r="A52" s="24" t="s">
        <v>892</v>
      </c>
      <c r="B52" s="25" t="s">
        <v>893</v>
      </c>
      <c r="C52" s="26" t="s">
        <v>894</v>
      </c>
      <c r="D52" s="27" t="s">
        <v>884</v>
      </c>
      <c r="E52" s="27" t="n">
        <f aca="false">COUNTIF(W3_FUNKCJE_MVP!$L$6:$L$400,$A52)</f>
        <v>1</v>
      </c>
      <c r="F52" s="26" t="s">
        <v>632</v>
      </c>
      <c r="G52" s="26" t="s">
        <v>151</v>
      </c>
      <c r="H52" s="26" t="s">
        <v>151</v>
      </c>
      <c r="I52" s="26" t="s">
        <v>895</v>
      </c>
      <c r="J52" s="26" t="s">
        <v>151</v>
      </c>
      <c r="K52" s="28" t="s">
        <v>151</v>
      </c>
      <c r="L52" s="28" t="s">
        <v>896</v>
      </c>
      <c r="M52" s="28" t="s">
        <v>484</v>
      </c>
      <c r="N52" s="28" t="s">
        <v>484</v>
      </c>
      <c r="O52" s="26" t="s">
        <v>897</v>
      </c>
      <c r="P52" s="30" t="s">
        <v>39</v>
      </c>
      <c r="Q52" s="26" t="s">
        <v>502</v>
      </c>
      <c r="R52" s="26" t="s">
        <v>151</v>
      </c>
      <c r="S52" s="26" t="s">
        <v>151</v>
      </c>
      <c r="T52" s="27" t="n">
        <v>4</v>
      </c>
      <c r="U52" s="26" t="s">
        <v>898</v>
      </c>
      <c r="V52" s="26" t="s">
        <v>354</v>
      </c>
      <c r="W52" s="26" t="s">
        <v>829</v>
      </c>
    </row>
    <row r="53" customFormat="false" ht="48.75" hidden="false" customHeight="true" outlineLevel="0" collapsed="false">
      <c r="A53" s="24" t="s">
        <v>899</v>
      </c>
      <c r="B53" s="25" t="s">
        <v>900</v>
      </c>
      <c r="C53" s="26" t="s">
        <v>901</v>
      </c>
      <c r="D53" s="27" t="s">
        <v>902</v>
      </c>
      <c r="E53" s="27" t="n">
        <f aca="false">COUNTIF(W3_FUNKCJE_MVP!$L$6:$L$400,$A53)</f>
        <v>2</v>
      </c>
      <c r="F53" s="26" t="s">
        <v>903</v>
      </c>
      <c r="G53" s="26" t="s">
        <v>151</v>
      </c>
      <c r="H53" s="26" t="s">
        <v>151</v>
      </c>
      <c r="I53" s="26" t="s">
        <v>904</v>
      </c>
      <c r="J53" s="26" t="s">
        <v>151</v>
      </c>
      <c r="K53" s="28" t="s">
        <v>151</v>
      </c>
      <c r="L53" s="28" t="s">
        <v>905</v>
      </c>
      <c r="M53" s="28" t="s">
        <v>906</v>
      </c>
      <c r="N53" s="28" t="s">
        <v>368</v>
      </c>
      <c r="O53" s="26" t="s">
        <v>907</v>
      </c>
      <c r="P53" s="30" t="s">
        <v>39</v>
      </c>
      <c r="Q53" s="26" t="s">
        <v>502</v>
      </c>
      <c r="R53" s="26" t="s">
        <v>908</v>
      </c>
      <c r="S53" s="26" t="s">
        <v>151</v>
      </c>
      <c r="T53" s="27" t="n">
        <v>4</v>
      </c>
      <c r="U53" s="26" t="s">
        <v>909</v>
      </c>
      <c r="V53" s="26" t="s">
        <v>354</v>
      </c>
      <c r="W53" s="26" t="s">
        <v>829</v>
      </c>
    </row>
    <row r="54" customFormat="false" ht="48.75" hidden="false" customHeight="true" outlineLevel="0" collapsed="false">
      <c r="A54" s="24" t="s">
        <v>910</v>
      </c>
      <c r="B54" s="25" t="s">
        <v>911</v>
      </c>
      <c r="C54" s="26" t="s">
        <v>912</v>
      </c>
      <c r="D54" s="27" t="s">
        <v>913</v>
      </c>
      <c r="E54" s="27" t="n">
        <f aca="false">COUNTIF(W3_FUNKCJE_MVP!$L$6:$L$400,$A54)</f>
        <v>2</v>
      </c>
      <c r="F54" s="26" t="s">
        <v>914</v>
      </c>
      <c r="G54" s="26" t="s">
        <v>151</v>
      </c>
      <c r="H54" s="26" t="s">
        <v>915</v>
      </c>
      <c r="I54" s="26" t="s">
        <v>916</v>
      </c>
      <c r="J54" s="26" t="s">
        <v>151</v>
      </c>
      <c r="K54" s="28" t="s">
        <v>151</v>
      </c>
      <c r="L54" s="28" t="s">
        <v>917</v>
      </c>
      <c r="M54" s="28" t="s">
        <v>918</v>
      </c>
      <c r="N54" s="28" t="s">
        <v>368</v>
      </c>
      <c r="O54" s="26" t="s">
        <v>919</v>
      </c>
      <c r="P54" s="29" t="s">
        <v>43</v>
      </c>
      <c r="Q54" s="26" t="s">
        <v>920</v>
      </c>
      <c r="R54" s="26" t="s">
        <v>151</v>
      </c>
      <c r="S54" s="26" t="s">
        <v>921</v>
      </c>
      <c r="T54" s="27" t="n">
        <v>5</v>
      </c>
      <c r="U54" s="26" t="s">
        <v>922</v>
      </c>
      <c r="V54" s="26" t="s">
        <v>354</v>
      </c>
      <c r="W54" s="26" t="s">
        <v>923</v>
      </c>
    </row>
    <row r="55" customFormat="false" ht="37.5" hidden="false" customHeight="true" outlineLevel="0" collapsed="false">
      <c r="A55" s="24" t="s">
        <v>924</v>
      </c>
      <c r="B55" s="25" t="s">
        <v>925</v>
      </c>
      <c r="C55" s="26" t="s">
        <v>926</v>
      </c>
      <c r="D55" s="27" t="s">
        <v>927</v>
      </c>
      <c r="E55" s="27" t="n">
        <f aca="false">COUNTIF(W3_FUNKCJE_MVP!$L$6:$L$400,$A55)</f>
        <v>1</v>
      </c>
      <c r="F55" s="26" t="s">
        <v>632</v>
      </c>
      <c r="G55" s="26" t="s">
        <v>151</v>
      </c>
      <c r="H55" s="26" t="s">
        <v>151</v>
      </c>
      <c r="I55" s="26" t="s">
        <v>928</v>
      </c>
      <c r="J55" s="26" t="s">
        <v>151</v>
      </c>
      <c r="K55" s="28" t="s">
        <v>151</v>
      </c>
      <c r="L55" s="28" t="s">
        <v>929</v>
      </c>
      <c r="M55" s="28" t="s">
        <v>484</v>
      </c>
      <c r="N55" s="28" t="s">
        <v>484</v>
      </c>
      <c r="O55" s="26" t="s">
        <v>930</v>
      </c>
      <c r="P55" s="30" t="s">
        <v>39</v>
      </c>
      <c r="Q55" s="26" t="s">
        <v>931</v>
      </c>
      <c r="R55" s="26" t="s">
        <v>932</v>
      </c>
      <c r="S55" s="26" t="s">
        <v>151</v>
      </c>
      <c r="T55" s="27" t="n">
        <v>3</v>
      </c>
      <c r="U55" s="26" t="s">
        <v>933</v>
      </c>
      <c r="V55" s="26" t="s">
        <v>354</v>
      </c>
      <c r="W55" s="26" t="s">
        <v>934</v>
      </c>
    </row>
    <row r="56" customFormat="false" ht="37.5" hidden="false" customHeight="true" outlineLevel="0" collapsed="false">
      <c r="A56" s="24" t="s">
        <v>935</v>
      </c>
      <c r="B56" s="25" t="s">
        <v>936</v>
      </c>
      <c r="C56" s="26" t="s">
        <v>936</v>
      </c>
      <c r="D56" s="27" t="s">
        <v>937</v>
      </c>
      <c r="E56" s="27" t="n">
        <f aca="false">COUNTIF(W3_FUNKCJE_MVP!$L$6:$L$400,$A56)</f>
        <v>1</v>
      </c>
      <c r="F56" s="26" t="s">
        <v>938</v>
      </c>
      <c r="G56" s="26" t="s">
        <v>151</v>
      </c>
      <c r="H56" s="26" t="s">
        <v>939</v>
      </c>
      <c r="I56" s="26" t="s">
        <v>940</v>
      </c>
      <c r="J56" s="26" t="s">
        <v>941</v>
      </c>
      <c r="K56" s="28" t="s">
        <v>942</v>
      </c>
      <c r="L56" s="28" t="s">
        <v>943</v>
      </c>
      <c r="M56" s="28" t="s">
        <v>484</v>
      </c>
      <c r="N56" s="28" t="s">
        <v>944</v>
      </c>
      <c r="O56" s="26" t="s">
        <v>945</v>
      </c>
      <c r="P56" s="31" t="s">
        <v>41</v>
      </c>
      <c r="Q56" s="26" t="s">
        <v>946</v>
      </c>
      <c r="R56" s="26" t="s">
        <v>947</v>
      </c>
      <c r="S56" s="26" t="s">
        <v>948</v>
      </c>
      <c r="T56" s="27" t="n">
        <v>5</v>
      </c>
      <c r="U56" s="26" t="s">
        <v>949</v>
      </c>
      <c r="V56" s="26" t="s">
        <v>354</v>
      </c>
      <c r="W56" s="26" t="s">
        <v>950</v>
      </c>
    </row>
    <row r="57" customFormat="false" ht="37.5" hidden="false" customHeight="true" outlineLevel="0" collapsed="false">
      <c r="A57" s="24" t="s">
        <v>951</v>
      </c>
      <c r="B57" s="25" t="s">
        <v>952</v>
      </c>
      <c r="C57" s="26" t="s">
        <v>953</v>
      </c>
      <c r="D57" s="27" t="s">
        <v>937</v>
      </c>
      <c r="E57" s="27" t="n">
        <f aca="false">COUNTIF(W3_FUNKCJE_MVP!$L$6:$L$400,$A57)</f>
        <v>1</v>
      </c>
      <c r="F57" s="26" t="s">
        <v>834</v>
      </c>
      <c r="G57" s="26" t="s">
        <v>151</v>
      </c>
      <c r="H57" s="26" t="s">
        <v>954</v>
      </c>
      <c r="I57" s="26" t="s">
        <v>955</v>
      </c>
      <c r="J57" s="26" t="s">
        <v>151</v>
      </c>
      <c r="K57" s="28" t="s">
        <v>956</v>
      </c>
      <c r="L57" s="28" t="s">
        <v>957</v>
      </c>
      <c r="M57" s="28" t="s">
        <v>958</v>
      </c>
      <c r="N57" s="28" t="s">
        <v>368</v>
      </c>
      <c r="O57" s="26" t="s">
        <v>959</v>
      </c>
      <c r="P57" s="30" t="s">
        <v>39</v>
      </c>
      <c r="Q57" s="26" t="s">
        <v>960</v>
      </c>
      <c r="R57" s="26" t="s">
        <v>961</v>
      </c>
      <c r="S57" s="26" t="s">
        <v>151</v>
      </c>
      <c r="T57" s="27" t="n">
        <v>5</v>
      </c>
      <c r="U57" s="26" t="s">
        <v>151</v>
      </c>
      <c r="V57" s="26" t="s">
        <v>354</v>
      </c>
      <c r="W57" s="26" t="s">
        <v>962</v>
      </c>
    </row>
    <row r="58" customFormat="false" ht="25.5" hidden="false" customHeight="true" outlineLevel="0" collapsed="false">
      <c r="A58" s="24" t="s">
        <v>963</v>
      </c>
      <c r="B58" s="25" t="s">
        <v>964</v>
      </c>
      <c r="C58" s="26" t="s">
        <v>965</v>
      </c>
      <c r="D58" s="27" t="s">
        <v>966</v>
      </c>
      <c r="E58" s="27" t="n">
        <f aca="false">COUNTIF(W3_FUNKCJE_MVP!$L$6:$L$400,$A58)</f>
        <v>1</v>
      </c>
      <c r="F58" s="26" t="s">
        <v>576</v>
      </c>
      <c r="G58" s="26" t="s">
        <v>151</v>
      </c>
      <c r="H58" s="26" t="s">
        <v>151</v>
      </c>
      <c r="I58" s="26" t="s">
        <v>967</v>
      </c>
      <c r="J58" s="26" t="s">
        <v>151</v>
      </c>
      <c r="K58" s="28" t="s">
        <v>151</v>
      </c>
      <c r="L58" s="28" t="s">
        <v>968</v>
      </c>
      <c r="M58" s="28" t="s">
        <v>484</v>
      </c>
      <c r="N58" s="28" t="s">
        <v>484</v>
      </c>
      <c r="O58" s="26" t="s">
        <v>969</v>
      </c>
      <c r="P58" s="30" t="s">
        <v>39</v>
      </c>
      <c r="Q58" s="26" t="s">
        <v>502</v>
      </c>
      <c r="R58" s="26" t="s">
        <v>970</v>
      </c>
      <c r="S58" s="26" t="s">
        <v>151</v>
      </c>
      <c r="T58" s="27" t="n">
        <v>3</v>
      </c>
      <c r="U58" s="26" t="s">
        <v>971</v>
      </c>
      <c r="V58" s="26" t="s">
        <v>354</v>
      </c>
      <c r="W58" s="26" t="s">
        <v>972</v>
      </c>
    </row>
    <row r="59" customFormat="false" ht="37.5" hidden="false" customHeight="true" outlineLevel="0" collapsed="false">
      <c r="A59" s="24" t="s">
        <v>973</v>
      </c>
      <c r="B59" s="25" t="s">
        <v>974</v>
      </c>
      <c r="C59" s="26" t="s">
        <v>975</v>
      </c>
      <c r="D59" s="27" t="s">
        <v>976</v>
      </c>
      <c r="E59" s="27" t="n">
        <f aca="false">COUNTIF(W3_FUNKCJE_MVP!$L$6:$L$400,$A59)</f>
        <v>1</v>
      </c>
      <c r="F59" s="26" t="s">
        <v>977</v>
      </c>
      <c r="G59" s="26" t="s">
        <v>151</v>
      </c>
      <c r="H59" s="26" t="s">
        <v>151</v>
      </c>
      <c r="I59" s="26" t="s">
        <v>151</v>
      </c>
      <c r="J59" s="26" t="s">
        <v>151</v>
      </c>
      <c r="K59" s="28" t="s">
        <v>151</v>
      </c>
      <c r="L59" s="28" t="s">
        <v>978</v>
      </c>
      <c r="M59" s="28" t="s">
        <v>484</v>
      </c>
      <c r="N59" s="28" t="s">
        <v>484</v>
      </c>
      <c r="O59" s="26" t="s">
        <v>979</v>
      </c>
      <c r="P59" s="30" t="s">
        <v>39</v>
      </c>
      <c r="Q59" s="26" t="s">
        <v>502</v>
      </c>
      <c r="R59" s="26" t="s">
        <v>980</v>
      </c>
      <c r="S59" s="26" t="s">
        <v>151</v>
      </c>
      <c r="T59" s="27" t="n">
        <v>5</v>
      </c>
      <c r="U59" s="26" t="s">
        <v>981</v>
      </c>
      <c r="V59" s="26" t="s">
        <v>354</v>
      </c>
      <c r="W59" s="26" t="s">
        <v>829</v>
      </c>
    </row>
    <row r="60" customFormat="false" ht="37.5" hidden="false" customHeight="true" outlineLevel="0" collapsed="false">
      <c r="A60" s="24" t="s">
        <v>982</v>
      </c>
      <c r="B60" s="25" t="s">
        <v>983</v>
      </c>
      <c r="C60" s="26" t="s">
        <v>984</v>
      </c>
      <c r="D60" s="27" t="s">
        <v>985</v>
      </c>
      <c r="E60" s="27" t="n">
        <f aca="false">COUNTIF(W3_FUNKCJE_MVP!$L$6:$L$400,$A60)</f>
        <v>2</v>
      </c>
      <c r="F60" s="26" t="s">
        <v>478</v>
      </c>
      <c r="G60" s="26" t="s">
        <v>986</v>
      </c>
      <c r="H60" s="26" t="s">
        <v>987</v>
      </c>
      <c r="I60" s="26" t="s">
        <v>151</v>
      </c>
      <c r="J60" s="26" t="s">
        <v>988</v>
      </c>
      <c r="K60" s="28" t="s">
        <v>151</v>
      </c>
      <c r="L60" s="28" t="s">
        <v>989</v>
      </c>
      <c r="M60" s="28" t="s">
        <v>484</v>
      </c>
      <c r="N60" s="28" t="s">
        <v>484</v>
      </c>
      <c r="O60" s="26" t="s">
        <v>990</v>
      </c>
      <c r="P60" s="30" t="s">
        <v>39</v>
      </c>
      <c r="Q60" s="26" t="s">
        <v>502</v>
      </c>
      <c r="R60" s="26" t="s">
        <v>991</v>
      </c>
      <c r="S60" s="26" t="s">
        <v>151</v>
      </c>
      <c r="T60" s="27" t="n">
        <v>5</v>
      </c>
      <c r="U60" s="26" t="s">
        <v>992</v>
      </c>
      <c r="V60" s="26" t="s">
        <v>354</v>
      </c>
      <c r="W60" s="26" t="s">
        <v>993</v>
      </c>
    </row>
    <row r="61" customFormat="false" ht="37.5" hidden="false" customHeight="true" outlineLevel="0" collapsed="false">
      <c r="A61" s="24" t="s">
        <v>994</v>
      </c>
      <c r="B61" s="25" t="s">
        <v>995</v>
      </c>
      <c r="C61" s="26" t="s">
        <v>996</v>
      </c>
      <c r="D61" s="27" t="s">
        <v>997</v>
      </c>
      <c r="E61" s="27" t="n">
        <f aca="false">COUNTIF(W3_FUNKCJE_MVP!$L$6:$L$400,$A61)</f>
        <v>5</v>
      </c>
      <c r="F61" s="26" t="s">
        <v>478</v>
      </c>
      <c r="G61" s="26" t="s">
        <v>998</v>
      </c>
      <c r="H61" s="26" t="s">
        <v>999</v>
      </c>
      <c r="I61" s="26" t="s">
        <v>151</v>
      </c>
      <c r="J61" s="26" t="s">
        <v>1000</v>
      </c>
      <c r="K61" s="28" t="s">
        <v>151</v>
      </c>
      <c r="L61" s="28" t="s">
        <v>1001</v>
      </c>
      <c r="M61" s="28" t="s">
        <v>484</v>
      </c>
      <c r="N61" s="28" t="s">
        <v>484</v>
      </c>
      <c r="O61" s="26" t="s">
        <v>1002</v>
      </c>
      <c r="P61" s="30" t="s">
        <v>39</v>
      </c>
      <c r="Q61" s="26" t="s">
        <v>502</v>
      </c>
      <c r="R61" s="26" t="s">
        <v>1003</v>
      </c>
      <c r="S61" s="26" t="s">
        <v>151</v>
      </c>
      <c r="T61" s="27" t="n">
        <v>4</v>
      </c>
      <c r="U61" s="26" t="s">
        <v>1004</v>
      </c>
      <c r="V61" s="26" t="s">
        <v>354</v>
      </c>
      <c r="W61" s="26" t="s">
        <v>1005</v>
      </c>
    </row>
    <row r="62" customFormat="false" ht="25.5" hidden="false" customHeight="true" outlineLevel="0" collapsed="false">
      <c r="A62" s="24" t="s">
        <v>1006</v>
      </c>
      <c r="B62" s="25" t="s">
        <v>1007</v>
      </c>
      <c r="C62" s="26" t="s">
        <v>1008</v>
      </c>
      <c r="D62" s="27" t="s">
        <v>997</v>
      </c>
      <c r="E62" s="27" t="n">
        <f aca="false">COUNTIF(W3_FUNKCJE_MVP!$L$6:$L$400,$A62)</f>
        <v>3</v>
      </c>
      <c r="F62" s="26" t="s">
        <v>1009</v>
      </c>
      <c r="G62" s="26" t="s">
        <v>1010</v>
      </c>
      <c r="H62" s="26" t="s">
        <v>151</v>
      </c>
      <c r="I62" s="26" t="s">
        <v>1011</v>
      </c>
      <c r="J62" s="26" t="s">
        <v>1012</v>
      </c>
      <c r="K62" s="28" t="s">
        <v>151</v>
      </c>
      <c r="L62" s="28" t="s">
        <v>1013</v>
      </c>
      <c r="M62" s="28" t="s">
        <v>1014</v>
      </c>
      <c r="N62" s="28" t="s">
        <v>368</v>
      </c>
      <c r="O62" s="26" t="s">
        <v>1015</v>
      </c>
      <c r="P62" s="30" t="s">
        <v>39</v>
      </c>
      <c r="Q62" s="26" t="s">
        <v>502</v>
      </c>
      <c r="R62" s="26" t="s">
        <v>1016</v>
      </c>
      <c r="S62" s="26" t="s">
        <v>151</v>
      </c>
      <c r="T62" s="27" t="n">
        <v>5</v>
      </c>
      <c r="U62" s="26" t="s">
        <v>151</v>
      </c>
      <c r="V62" s="26" t="s">
        <v>354</v>
      </c>
      <c r="W62" s="26" t="s">
        <v>1017</v>
      </c>
    </row>
    <row r="63" customFormat="false" ht="37.5" hidden="false" customHeight="true" outlineLevel="0" collapsed="false">
      <c r="A63" s="24" t="s">
        <v>1018</v>
      </c>
      <c r="B63" s="25" t="s">
        <v>1019</v>
      </c>
      <c r="C63" s="26" t="s">
        <v>1020</v>
      </c>
      <c r="D63" s="27" t="s">
        <v>997</v>
      </c>
      <c r="E63" s="27" t="n">
        <f aca="false">COUNTIF(W3_FUNKCJE_MVP!$L$6:$L$400,$A63)</f>
        <v>3</v>
      </c>
      <c r="F63" s="26" t="s">
        <v>791</v>
      </c>
      <c r="G63" s="26" t="s">
        <v>151</v>
      </c>
      <c r="H63" s="26" t="s">
        <v>151</v>
      </c>
      <c r="I63" s="26" t="s">
        <v>1021</v>
      </c>
      <c r="J63" s="26" t="s">
        <v>151</v>
      </c>
      <c r="K63" s="28" t="s">
        <v>151</v>
      </c>
      <c r="L63" s="28" t="s">
        <v>1022</v>
      </c>
      <c r="M63" s="28" t="s">
        <v>484</v>
      </c>
      <c r="N63" s="28" t="s">
        <v>484</v>
      </c>
      <c r="O63" s="26" t="s">
        <v>1023</v>
      </c>
      <c r="P63" s="30" t="s">
        <v>39</v>
      </c>
      <c r="Q63" s="26" t="s">
        <v>502</v>
      </c>
      <c r="R63" s="26" t="s">
        <v>1024</v>
      </c>
      <c r="S63" s="26" t="s">
        <v>151</v>
      </c>
      <c r="T63" s="27" t="n">
        <v>3</v>
      </c>
      <c r="U63" s="26" t="s">
        <v>151</v>
      </c>
      <c r="V63" s="26" t="s">
        <v>354</v>
      </c>
      <c r="W63" s="26" t="s">
        <v>800</v>
      </c>
    </row>
    <row r="64" customFormat="false" ht="37.5" hidden="false" customHeight="true" outlineLevel="0" collapsed="false">
      <c r="A64" s="24" t="s">
        <v>1025</v>
      </c>
      <c r="B64" s="25" t="s">
        <v>1026</v>
      </c>
      <c r="C64" s="26" t="s">
        <v>1027</v>
      </c>
      <c r="D64" s="27" t="s">
        <v>1028</v>
      </c>
      <c r="E64" s="27" t="n">
        <f aca="false">COUNTIF(W3_FUNKCJE_MVP!$L$6:$L$400,$A64)</f>
        <v>1</v>
      </c>
      <c r="F64" s="26" t="s">
        <v>1029</v>
      </c>
      <c r="G64" s="26" t="s">
        <v>151</v>
      </c>
      <c r="H64" s="26" t="s">
        <v>151</v>
      </c>
      <c r="I64" s="26" t="s">
        <v>1030</v>
      </c>
      <c r="J64" s="26" t="s">
        <v>1031</v>
      </c>
      <c r="K64" s="28" t="s">
        <v>151</v>
      </c>
      <c r="L64" s="28" t="s">
        <v>1032</v>
      </c>
      <c r="M64" s="28" t="s">
        <v>484</v>
      </c>
      <c r="N64" s="28" t="s">
        <v>484</v>
      </c>
      <c r="O64" s="26" t="s">
        <v>1033</v>
      </c>
      <c r="P64" s="30" t="s">
        <v>39</v>
      </c>
      <c r="Q64" s="26" t="s">
        <v>1034</v>
      </c>
      <c r="R64" s="26" t="s">
        <v>1035</v>
      </c>
      <c r="S64" s="26" t="s">
        <v>151</v>
      </c>
      <c r="T64" s="27" t="n">
        <v>4</v>
      </c>
      <c r="U64" s="26" t="s">
        <v>1036</v>
      </c>
      <c r="V64" s="26" t="s">
        <v>354</v>
      </c>
      <c r="W64" s="26" t="s">
        <v>829</v>
      </c>
    </row>
    <row r="65" customFormat="false" ht="25.5" hidden="false" customHeight="true" outlineLevel="0" collapsed="false">
      <c r="A65" s="24" t="s">
        <v>1037</v>
      </c>
      <c r="B65" s="25" t="s">
        <v>1038</v>
      </c>
      <c r="C65" s="26" t="s">
        <v>1039</v>
      </c>
      <c r="D65" s="27" t="s">
        <v>997</v>
      </c>
      <c r="E65" s="27" t="n">
        <f aca="false">COUNTIF(W3_FUNKCJE_MVP!$L$6:$L$400,$A65)</f>
        <v>1</v>
      </c>
      <c r="F65" s="26" t="s">
        <v>977</v>
      </c>
      <c r="G65" s="26" t="s">
        <v>151</v>
      </c>
      <c r="H65" s="26" t="s">
        <v>151</v>
      </c>
      <c r="I65" s="26" t="s">
        <v>151</v>
      </c>
      <c r="J65" s="26" t="s">
        <v>151</v>
      </c>
      <c r="K65" s="28" t="s">
        <v>151</v>
      </c>
      <c r="L65" s="28" t="s">
        <v>1040</v>
      </c>
      <c r="M65" s="28" t="s">
        <v>484</v>
      </c>
      <c r="N65" s="28" t="s">
        <v>484</v>
      </c>
      <c r="O65" s="26" t="s">
        <v>1041</v>
      </c>
      <c r="P65" s="30" t="s">
        <v>39</v>
      </c>
      <c r="Q65" s="26" t="s">
        <v>502</v>
      </c>
      <c r="R65" s="26" t="s">
        <v>151</v>
      </c>
      <c r="S65" s="26" t="s">
        <v>151</v>
      </c>
      <c r="T65" s="27" t="n">
        <v>5</v>
      </c>
      <c r="U65" s="26" t="s">
        <v>151</v>
      </c>
      <c r="V65" s="26" t="s">
        <v>1042</v>
      </c>
      <c r="W65" s="26" t="s">
        <v>829</v>
      </c>
    </row>
    <row r="66" customFormat="false" ht="37.5" hidden="false" customHeight="true" outlineLevel="0" collapsed="false">
      <c r="A66" s="24" t="s">
        <v>1043</v>
      </c>
      <c r="B66" s="25" t="s">
        <v>1044</v>
      </c>
      <c r="C66" s="26" t="s">
        <v>1045</v>
      </c>
      <c r="D66" s="27" t="s">
        <v>1046</v>
      </c>
      <c r="E66" s="27" t="n">
        <f aca="false">COUNTIF(W3_FUNKCJE_MVP!$L$6:$L$400,$A66)</f>
        <v>1</v>
      </c>
      <c r="F66" s="26" t="s">
        <v>495</v>
      </c>
      <c r="G66" s="26" t="s">
        <v>1047</v>
      </c>
      <c r="H66" s="26" t="s">
        <v>480</v>
      </c>
      <c r="I66" s="26" t="s">
        <v>151</v>
      </c>
      <c r="J66" s="26" t="s">
        <v>1048</v>
      </c>
      <c r="K66" s="28" t="s">
        <v>151</v>
      </c>
      <c r="L66" s="28" t="s">
        <v>1049</v>
      </c>
      <c r="M66" s="28" t="s">
        <v>484</v>
      </c>
      <c r="N66" s="28" t="s">
        <v>484</v>
      </c>
      <c r="O66" s="26" t="s">
        <v>1050</v>
      </c>
      <c r="P66" s="29" t="s">
        <v>43</v>
      </c>
      <c r="Q66" s="26" t="s">
        <v>1051</v>
      </c>
      <c r="R66" s="26" t="s">
        <v>1052</v>
      </c>
      <c r="S66" s="26" t="s">
        <v>151</v>
      </c>
      <c r="T66" s="27" t="n">
        <v>5</v>
      </c>
      <c r="U66" s="26" t="s">
        <v>1053</v>
      </c>
      <c r="V66" s="26" t="s">
        <v>354</v>
      </c>
      <c r="W66" s="26" t="s">
        <v>829</v>
      </c>
    </row>
    <row r="67" customFormat="false" ht="37.5" hidden="false" customHeight="true" outlineLevel="0" collapsed="false">
      <c r="A67" s="24" t="s">
        <v>1054</v>
      </c>
      <c r="B67" s="25" t="s">
        <v>1055</v>
      </c>
      <c r="C67" s="26" t="s">
        <v>1056</v>
      </c>
      <c r="D67" s="27" t="s">
        <v>1057</v>
      </c>
      <c r="E67" s="27" t="n">
        <f aca="false">COUNTIF(W3_FUNKCJE_MVP!$L$6:$L$400,$A67)</f>
        <v>10</v>
      </c>
      <c r="F67" s="26" t="s">
        <v>632</v>
      </c>
      <c r="G67" s="26" t="s">
        <v>151</v>
      </c>
      <c r="H67" s="26" t="s">
        <v>151</v>
      </c>
      <c r="I67" s="26" t="s">
        <v>1058</v>
      </c>
      <c r="J67" s="26" t="s">
        <v>151</v>
      </c>
      <c r="K67" s="28" t="s">
        <v>151</v>
      </c>
      <c r="L67" s="28" t="s">
        <v>1059</v>
      </c>
      <c r="M67" s="28" t="s">
        <v>151</v>
      </c>
      <c r="N67" s="28" t="s">
        <v>151</v>
      </c>
      <c r="O67" s="26" t="s">
        <v>1060</v>
      </c>
      <c r="P67" s="30" t="s">
        <v>39</v>
      </c>
      <c r="Q67" s="26" t="s">
        <v>1061</v>
      </c>
      <c r="R67" s="26" t="s">
        <v>1062</v>
      </c>
      <c r="S67" s="26" t="s">
        <v>151</v>
      </c>
      <c r="T67" s="27" t="n">
        <v>3</v>
      </c>
      <c r="U67" s="26" t="s">
        <v>1063</v>
      </c>
      <c r="V67" s="26" t="s">
        <v>354</v>
      </c>
      <c r="W67" s="26" t="s">
        <v>1064</v>
      </c>
    </row>
    <row r="68" customFormat="false" ht="94.5" hidden="false" customHeight="true" outlineLevel="0" collapsed="false">
      <c r="A68" s="24" t="s">
        <v>1065</v>
      </c>
      <c r="B68" s="25" t="s">
        <v>1066</v>
      </c>
      <c r="C68" s="26" t="s">
        <v>1067</v>
      </c>
      <c r="D68" s="27" t="s">
        <v>1068</v>
      </c>
      <c r="E68" s="27" t="n">
        <f aca="false">COUNTIF(W3_FUNKCJE_MVP!$L$6:$L$400,$A68)</f>
        <v>7</v>
      </c>
      <c r="F68" s="26" t="s">
        <v>1069</v>
      </c>
      <c r="G68" s="26" t="s">
        <v>151</v>
      </c>
      <c r="H68" s="26" t="s">
        <v>151</v>
      </c>
      <c r="I68" s="26" t="s">
        <v>1070</v>
      </c>
      <c r="J68" s="26" t="s">
        <v>1071</v>
      </c>
      <c r="K68" s="28" t="s">
        <v>151</v>
      </c>
      <c r="L68" s="28" t="s">
        <v>1072</v>
      </c>
      <c r="M68" s="28" t="s">
        <v>151</v>
      </c>
      <c r="N68" s="28" t="s">
        <v>151</v>
      </c>
      <c r="O68" s="26" t="s">
        <v>1073</v>
      </c>
      <c r="P68" s="30" t="s">
        <v>39</v>
      </c>
      <c r="Q68" s="26" t="s">
        <v>1061</v>
      </c>
      <c r="R68" s="26" t="s">
        <v>1074</v>
      </c>
      <c r="S68" s="26" t="s">
        <v>151</v>
      </c>
      <c r="T68" s="27" t="n">
        <v>4</v>
      </c>
      <c r="U68" s="26" t="s">
        <v>151</v>
      </c>
      <c r="V68" s="26" t="s">
        <v>354</v>
      </c>
      <c r="W68" s="26" t="s">
        <v>1064</v>
      </c>
    </row>
    <row r="69" customFormat="false" ht="37.5" hidden="false" customHeight="true" outlineLevel="0" collapsed="false">
      <c r="A69" s="24" t="s">
        <v>1075</v>
      </c>
      <c r="B69" s="25" t="s">
        <v>1076</v>
      </c>
      <c r="C69" s="26" t="s">
        <v>1077</v>
      </c>
      <c r="D69" s="27" t="s">
        <v>1078</v>
      </c>
      <c r="E69" s="27" t="n">
        <f aca="false">COUNTIF(W3_FUNKCJE_MVP!$L$6:$L$400,$A69)</f>
        <v>1</v>
      </c>
      <c r="F69" s="26" t="s">
        <v>1079</v>
      </c>
      <c r="G69" s="26" t="s">
        <v>151</v>
      </c>
      <c r="H69" s="26" t="s">
        <v>1080</v>
      </c>
      <c r="I69" s="26" t="s">
        <v>151</v>
      </c>
      <c r="J69" s="26" t="s">
        <v>1081</v>
      </c>
      <c r="K69" s="28" t="s">
        <v>151</v>
      </c>
      <c r="L69" s="28" t="s">
        <v>1082</v>
      </c>
      <c r="M69" s="28" t="s">
        <v>151</v>
      </c>
      <c r="N69" s="28" t="s">
        <v>151</v>
      </c>
      <c r="O69" s="26" t="s">
        <v>1083</v>
      </c>
      <c r="P69" s="30" t="s">
        <v>39</v>
      </c>
      <c r="Q69" s="26" t="s">
        <v>1061</v>
      </c>
      <c r="R69" s="26" t="s">
        <v>1084</v>
      </c>
      <c r="S69" s="26" t="s">
        <v>151</v>
      </c>
      <c r="T69" s="27" t="n">
        <v>4</v>
      </c>
      <c r="U69" s="26" t="s">
        <v>1085</v>
      </c>
      <c r="V69" s="26" t="s">
        <v>354</v>
      </c>
      <c r="W69" s="26" t="s">
        <v>1064</v>
      </c>
    </row>
    <row r="70" customFormat="false" ht="37.5" hidden="false" customHeight="true" outlineLevel="0" collapsed="false">
      <c r="A70" s="24" t="s">
        <v>1086</v>
      </c>
      <c r="B70" s="25" t="s">
        <v>1087</v>
      </c>
      <c r="C70" s="26" t="s">
        <v>1088</v>
      </c>
      <c r="D70" s="27" t="s">
        <v>1089</v>
      </c>
      <c r="E70" s="27" t="n">
        <f aca="false">COUNTIF(W3_FUNKCJE_MVP!$L$6:$L$400,$A70)</f>
        <v>1</v>
      </c>
      <c r="F70" s="26" t="s">
        <v>1090</v>
      </c>
      <c r="G70" s="26" t="s">
        <v>151</v>
      </c>
      <c r="H70" s="26" t="s">
        <v>151</v>
      </c>
      <c r="I70" s="26" t="s">
        <v>1091</v>
      </c>
      <c r="J70" s="26" t="s">
        <v>151</v>
      </c>
      <c r="K70" s="28" t="s">
        <v>151</v>
      </c>
      <c r="L70" s="28" t="s">
        <v>1092</v>
      </c>
      <c r="M70" s="28" t="s">
        <v>151</v>
      </c>
      <c r="N70" s="28" t="s">
        <v>151</v>
      </c>
      <c r="O70" s="26" t="s">
        <v>1093</v>
      </c>
      <c r="P70" s="30" t="s">
        <v>39</v>
      </c>
      <c r="Q70" s="26" t="s">
        <v>502</v>
      </c>
      <c r="R70" s="26" t="s">
        <v>1094</v>
      </c>
      <c r="S70" s="26" t="s">
        <v>151</v>
      </c>
      <c r="T70" s="27" t="n">
        <v>4</v>
      </c>
      <c r="U70" s="26" t="s">
        <v>1095</v>
      </c>
      <c r="V70" s="26" t="s">
        <v>354</v>
      </c>
      <c r="W70" s="26" t="s">
        <v>1064</v>
      </c>
    </row>
    <row r="71" customFormat="false" ht="37.5" hidden="false" customHeight="true" outlineLevel="0" collapsed="false">
      <c r="A71" s="24" t="s">
        <v>1096</v>
      </c>
      <c r="B71" s="25" t="s">
        <v>1097</v>
      </c>
      <c r="C71" s="26" t="s">
        <v>1098</v>
      </c>
      <c r="D71" s="27" t="s">
        <v>1099</v>
      </c>
      <c r="E71" s="27" t="n">
        <f aca="false">COUNTIF(W3_FUNKCJE_MVP!$L$6:$L$400,$A71)</f>
        <v>1</v>
      </c>
      <c r="F71" s="26" t="s">
        <v>1100</v>
      </c>
      <c r="G71" s="26" t="s">
        <v>1101</v>
      </c>
      <c r="H71" s="26" t="s">
        <v>151</v>
      </c>
      <c r="I71" s="26" t="s">
        <v>151</v>
      </c>
      <c r="J71" s="26" t="s">
        <v>1102</v>
      </c>
      <c r="K71" s="28" t="s">
        <v>151</v>
      </c>
      <c r="L71" s="28" t="s">
        <v>1103</v>
      </c>
      <c r="M71" s="28" t="s">
        <v>151</v>
      </c>
      <c r="N71" s="28" t="s">
        <v>151</v>
      </c>
      <c r="O71" s="26" t="s">
        <v>1104</v>
      </c>
      <c r="P71" s="30" t="s">
        <v>39</v>
      </c>
      <c r="Q71" s="26" t="s">
        <v>502</v>
      </c>
      <c r="R71" s="26" t="s">
        <v>1105</v>
      </c>
      <c r="S71" s="26" t="s">
        <v>151</v>
      </c>
      <c r="T71" s="27" t="n">
        <v>3</v>
      </c>
      <c r="U71" s="26" t="s">
        <v>151</v>
      </c>
      <c r="V71" s="26" t="s">
        <v>354</v>
      </c>
      <c r="W71" s="26" t="s">
        <v>1064</v>
      </c>
    </row>
    <row r="72" customFormat="false" ht="219.75" hidden="false" customHeight="true" outlineLevel="0" collapsed="false">
      <c r="A72" s="24" t="s">
        <v>1106</v>
      </c>
      <c r="B72" s="25" t="s">
        <v>1107</v>
      </c>
      <c r="C72" s="26" t="s">
        <v>1108</v>
      </c>
      <c r="D72" s="27" t="s">
        <v>1109</v>
      </c>
      <c r="E72" s="27" t="n">
        <f aca="false">COUNTIF(W3_FUNKCJE_MVP!$L$6:$L$400,$A72)</f>
        <v>12</v>
      </c>
      <c r="F72" s="26" t="s">
        <v>1110</v>
      </c>
      <c r="G72" s="26" t="s">
        <v>151</v>
      </c>
      <c r="H72" s="26" t="s">
        <v>1111</v>
      </c>
      <c r="I72" s="26" t="s">
        <v>151</v>
      </c>
      <c r="J72" s="26" t="s">
        <v>151</v>
      </c>
      <c r="K72" s="28" t="s">
        <v>1112</v>
      </c>
      <c r="L72" s="28" t="s">
        <v>1113</v>
      </c>
      <c r="M72" s="28" t="s">
        <v>484</v>
      </c>
      <c r="N72" s="28" t="s">
        <v>484</v>
      </c>
      <c r="O72" s="26" t="s">
        <v>1114</v>
      </c>
      <c r="P72" s="30" t="s">
        <v>39</v>
      </c>
      <c r="Q72" s="26" t="s">
        <v>1115</v>
      </c>
      <c r="R72" s="26" t="s">
        <v>1116</v>
      </c>
      <c r="S72" s="26" t="s">
        <v>151</v>
      </c>
      <c r="T72" s="27" t="n">
        <v>5</v>
      </c>
      <c r="U72" s="26" t="s">
        <v>151</v>
      </c>
      <c r="V72" s="26" t="s">
        <v>1117</v>
      </c>
      <c r="W72" s="26" t="s">
        <v>1118</v>
      </c>
    </row>
    <row r="73" customFormat="false" ht="25.5" hidden="false" customHeight="true" outlineLevel="0" collapsed="false">
      <c r="A73" s="24" t="s">
        <v>1119</v>
      </c>
      <c r="B73" s="25" t="s">
        <v>1120</v>
      </c>
      <c r="C73" s="26" t="s">
        <v>1121</v>
      </c>
      <c r="D73" s="27" t="s">
        <v>1109</v>
      </c>
      <c r="E73" s="27" t="n">
        <f aca="false">COUNTIF(W3_FUNKCJE_MVP!$L$6:$L$400,$A73)</f>
        <v>68</v>
      </c>
      <c r="F73" s="26" t="s">
        <v>1122</v>
      </c>
      <c r="G73" s="26" t="s">
        <v>1123</v>
      </c>
      <c r="H73" s="26" t="s">
        <v>151</v>
      </c>
      <c r="I73" s="26" t="s">
        <v>151</v>
      </c>
      <c r="J73" s="26" t="s">
        <v>151</v>
      </c>
      <c r="K73" s="28" t="s">
        <v>1124</v>
      </c>
      <c r="L73" s="28" t="s">
        <v>1125</v>
      </c>
      <c r="M73" s="28" t="s">
        <v>484</v>
      </c>
      <c r="N73" s="28" t="s">
        <v>484</v>
      </c>
      <c r="O73" s="26" t="s">
        <v>1126</v>
      </c>
      <c r="P73" s="30" t="s">
        <v>39</v>
      </c>
      <c r="Q73" s="26" t="s">
        <v>1127</v>
      </c>
      <c r="R73" s="26" t="s">
        <v>1128</v>
      </c>
      <c r="S73" s="26" t="s">
        <v>1129</v>
      </c>
      <c r="T73" s="27" t="n">
        <v>5</v>
      </c>
      <c r="U73" s="26" t="s">
        <v>1130</v>
      </c>
      <c r="V73" s="26" t="s">
        <v>1131</v>
      </c>
      <c r="W73" s="26" t="s">
        <v>1118</v>
      </c>
    </row>
  </sheetData>
  <autoFilter ref="A5:W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32"/>
    <col collapsed="false" customWidth="true" hidden="false" outlineLevel="0" max="11" min="11" style="0" width="26"/>
    <col collapsed="false" customWidth="true" hidden="false" outlineLevel="0" max="13" min="12" style="0" width="12"/>
  </cols>
  <sheetData>
    <row r="1" customFormat="false" ht="17.35" hidden="false" customHeight="false" outlineLevel="0" collapsed="false">
      <c r="A1" s="1" t="s">
        <v>1132</v>
      </c>
    </row>
    <row r="2" customFormat="false" ht="15" hidden="false" customHeight="false" outlineLevel="0" collapsed="false">
      <c r="A2" s="2" t="s">
        <v>1133</v>
      </c>
    </row>
    <row r="5" customFormat="false" ht="48" hidden="false" customHeight="true" outlineLevel="0" collapsed="false">
      <c r="A5" s="22" t="s">
        <v>1134</v>
      </c>
      <c r="B5" s="22" t="s">
        <v>1135</v>
      </c>
      <c r="C5" s="22" t="s">
        <v>1136</v>
      </c>
      <c r="D5" s="22" t="s">
        <v>1137</v>
      </c>
      <c r="E5" s="22" t="s">
        <v>1138</v>
      </c>
      <c r="F5" s="23" t="s">
        <v>1139</v>
      </c>
      <c r="G5" s="23" t="s">
        <v>96</v>
      </c>
      <c r="H5" s="23" t="s">
        <v>97</v>
      </c>
      <c r="I5" s="23" t="s">
        <v>1140</v>
      </c>
      <c r="J5" s="22" t="s">
        <v>1141</v>
      </c>
      <c r="K5" s="22" t="s">
        <v>1142</v>
      </c>
      <c r="L5" s="22" t="s">
        <v>1143</v>
      </c>
      <c r="M5" s="22" t="s">
        <v>1144</v>
      </c>
    </row>
    <row r="6" customFormat="false" ht="37.5" hidden="false" customHeight="true" outlineLevel="0" collapsed="false">
      <c r="A6" s="24" t="s">
        <v>1145</v>
      </c>
      <c r="B6" s="26" t="s">
        <v>1146</v>
      </c>
      <c r="C6" s="25" t="s">
        <v>1147</v>
      </c>
      <c r="D6" s="26" t="s">
        <v>1148</v>
      </c>
      <c r="E6" s="26" t="s">
        <v>1149</v>
      </c>
      <c r="F6" s="28" t="s">
        <v>1150</v>
      </c>
      <c r="G6" s="28" t="s">
        <v>1151</v>
      </c>
      <c r="H6" s="28" t="s">
        <v>484</v>
      </c>
      <c r="I6" s="28" t="s">
        <v>484</v>
      </c>
      <c r="J6" s="26" t="s">
        <v>1152</v>
      </c>
      <c r="K6" s="26" t="s">
        <v>1153</v>
      </c>
      <c r="L6" s="26" t="s">
        <v>1154</v>
      </c>
      <c r="M6" s="26" t="s">
        <v>1155</v>
      </c>
    </row>
    <row r="7" customFormat="false" ht="25.5" hidden="false" customHeight="true" outlineLevel="0" collapsed="false">
      <c r="A7" s="24" t="s">
        <v>1156</v>
      </c>
      <c r="B7" s="26" t="s">
        <v>1146</v>
      </c>
      <c r="C7" s="25" t="s">
        <v>1157</v>
      </c>
      <c r="D7" s="26" t="s">
        <v>1158</v>
      </c>
      <c r="E7" s="26" t="s">
        <v>151</v>
      </c>
      <c r="F7" s="28" t="s">
        <v>1159</v>
      </c>
      <c r="G7" s="28" t="s">
        <v>1160</v>
      </c>
      <c r="H7" s="28" t="s">
        <v>484</v>
      </c>
      <c r="I7" s="28" t="s">
        <v>484</v>
      </c>
      <c r="J7" s="26" t="s">
        <v>1161</v>
      </c>
      <c r="K7" s="26" t="s">
        <v>1159</v>
      </c>
      <c r="L7" s="26" t="s">
        <v>151</v>
      </c>
      <c r="M7" s="26" t="s">
        <v>151</v>
      </c>
    </row>
    <row r="8" customFormat="false" ht="25.5" hidden="false" customHeight="true" outlineLevel="0" collapsed="false">
      <c r="A8" s="24" t="s">
        <v>1162</v>
      </c>
      <c r="B8" s="26" t="s">
        <v>1163</v>
      </c>
      <c r="C8" s="25" t="s">
        <v>1164</v>
      </c>
      <c r="D8" s="26" t="s">
        <v>1165</v>
      </c>
      <c r="E8" s="26" t="s">
        <v>151</v>
      </c>
      <c r="F8" s="28" t="s">
        <v>1166</v>
      </c>
      <c r="G8" s="28" t="s">
        <v>1167</v>
      </c>
      <c r="H8" s="28" t="s">
        <v>484</v>
      </c>
      <c r="I8" s="28" t="s">
        <v>484</v>
      </c>
      <c r="J8" s="26" t="s">
        <v>1161</v>
      </c>
      <c r="K8" s="26" t="s">
        <v>1166</v>
      </c>
      <c r="L8" s="26" t="s">
        <v>151</v>
      </c>
      <c r="M8" s="26" t="s">
        <v>151</v>
      </c>
    </row>
    <row r="9" customFormat="false" ht="25.5" hidden="false" customHeight="true" outlineLevel="0" collapsed="false">
      <c r="A9" s="24" t="s">
        <v>1168</v>
      </c>
      <c r="B9" s="26" t="s">
        <v>1169</v>
      </c>
      <c r="C9" s="25" t="s">
        <v>1170</v>
      </c>
      <c r="D9" s="26" t="s">
        <v>1171</v>
      </c>
      <c r="E9" s="26" t="s">
        <v>1172</v>
      </c>
      <c r="F9" s="28" t="s">
        <v>1173</v>
      </c>
      <c r="G9" s="28" t="s">
        <v>1174</v>
      </c>
      <c r="H9" s="28" t="s">
        <v>1175</v>
      </c>
      <c r="I9" s="28" t="s">
        <v>368</v>
      </c>
      <c r="J9" s="26" t="s">
        <v>1161</v>
      </c>
      <c r="K9" s="26" t="s">
        <v>1176</v>
      </c>
      <c r="L9" s="26" t="s">
        <v>1177</v>
      </c>
      <c r="M9" s="26" t="s">
        <v>151</v>
      </c>
    </row>
    <row r="10" customFormat="false" ht="25.5" hidden="false" customHeight="true" outlineLevel="0" collapsed="false">
      <c r="A10" s="24" t="s">
        <v>1178</v>
      </c>
      <c r="B10" s="26" t="s">
        <v>1169</v>
      </c>
      <c r="C10" s="25" t="s">
        <v>1179</v>
      </c>
      <c r="D10" s="26" t="s">
        <v>1180</v>
      </c>
      <c r="E10" s="26" t="s">
        <v>1181</v>
      </c>
      <c r="F10" s="28" t="s">
        <v>1182</v>
      </c>
      <c r="G10" s="28" t="s">
        <v>1183</v>
      </c>
      <c r="H10" s="28" t="s">
        <v>1184</v>
      </c>
      <c r="I10" s="28" t="s">
        <v>368</v>
      </c>
      <c r="J10" s="26" t="s">
        <v>1185</v>
      </c>
      <c r="K10" s="26" t="s">
        <v>1186</v>
      </c>
      <c r="L10" s="26" t="s">
        <v>1187</v>
      </c>
      <c r="M10" s="26" t="s">
        <v>151</v>
      </c>
    </row>
    <row r="11" customFormat="false" ht="25.5" hidden="false" customHeight="true" outlineLevel="0" collapsed="false">
      <c r="A11" s="24" t="s">
        <v>1188</v>
      </c>
      <c r="B11" s="26" t="s">
        <v>1163</v>
      </c>
      <c r="C11" s="25" t="s">
        <v>1189</v>
      </c>
      <c r="D11" s="26" t="s">
        <v>1190</v>
      </c>
      <c r="E11" s="26" t="s">
        <v>1191</v>
      </c>
      <c r="F11" s="28" t="s">
        <v>1192</v>
      </c>
      <c r="G11" s="28" t="s">
        <v>1193</v>
      </c>
      <c r="H11" s="28" t="s">
        <v>484</v>
      </c>
      <c r="I11" s="28" t="s">
        <v>1194</v>
      </c>
      <c r="J11" s="26" t="s">
        <v>1161</v>
      </c>
      <c r="K11" s="26" t="s">
        <v>1195</v>
      </c>
      <c r="L11" s="26" t="s">
        <v>1196</v>
      </c>
      <c r="M11" s="26" t="s">
        <v>151</v>
      </c>
    </row>
    <row r="12" customFormat="false" ht="25.5" hidden="false" customHeight="true" outlineLevel="0" collapsed="false">
      <c r="A12" s="24" t="s">
        <v>1197</v>
      </c>
      <c r="B12" s="26" t="s">
        <v>1163</v>
      </c>
      <c r="C12" s="25" t="s">
        <v>1198</v>
      </c>
      <c r="D12" s="26" t="s">
        <v>1199</v>
      </c>
      <c r="E12" s="26" t="s">
        <v>1200</v>
      </c>
      <c r="F12" s="28" t="s">
        <v>354</v>
      </c>
      <c r="G12" s="28" t="s">
        <v>1201</v>
      </c>
      <c r="H12" s="28" t="s">
        <v>484</v>
      </c>
      <c r="I12" s="28" t="s">
        <v>484</v>
      </c>
      <c r="J12" s="26" t="s">
        <v>1202</v>
      </c>
      <c r="K12" s="26" t="s">
        <v>1203</v>
      </c>
      <c r="L12" s="26" t="s">
        <v>221</v>
      </c>
      <c r="M12" s="26" t="s">
        <v>1204</v>
      </c>
    </row>
    <row r="13" customFormat="false" ht="14.25" hidden="false" customHeight="true" outlineLevel="0" collapsed="false">
      <c r="A13" s="24" t="s">
        <v>1205</v>
      </c>
      <c r="B13" s="26" t="s">
        <v>1206</v>
      </c>
      <c r="C13" s="25" t="s">
        <v>1207</v>
      </c>
      <c r="D13" s="26" t="s">
        <v>1208</v>
      </c>
      <c r="E13" s="26" t="s">
        <v>151</v>
      </c>
      <c r="F13" s="28" t="s">
        <v>1209</v>
      </c>
      <c r="G13" s="28" t="s">
        <v>1210</v>
      </c>
      <c r="H13" s="28" t="s">
        <v>1211</v>
      </c>
      <c r="I13" s="28" t="s">
        <v>1212</v>
      </c>
      <c r="J13" s="26" t="s">
        <v>1161</v>
      </c>
      <c r="K13" s="26" t="s">
        <v>354</v>
      </c>
      <c r="L13" s="26" t="s">
        <v>1213</v>
      </c>
      <c r="M13" s="26" t="s">
        <v>1214</v>
      </c>
    </row>
    <row r="14" customFormat="false" ht="25.5" hidden="false" customHeight="true" outlineLevel="0" collapsed="false">
      <c r="A14" s="24" t="s">
        <v>1215</v>
      </c>
      <c r="B14" s="26" t="s">
        <v>1216</v>
      </c>
      <c r="C14" s="25" t="s">
        <v>1217</v>
      </c>
      <c r="D14" s="26" t="s">
        <v>1218</v>
      </c>
      <c r="E14" s="26" t="s">
        <v>1219</v>
      </c>
      <c r="F14" s="28" t="s">
        <v>1220</v>
      </c>
      <c r="G14" s="28" t="s">
        <v>1221</v>
      </c>
      <c r="H14" s="28" t="s">
        <v>1222</v>
      </c>
      <c r="I14" s="28" t="s">
        <v>368</v>
      </c>
      <c r="J14" s="26" t="s">
        <v>1223</v>
      </c>
      <c r="K14" s="26" t="s">
        <v>1224</v>
      </c>
      <c r="L14" s="26" t="s">
        <v>151</v>
      </c>
      <c r="M14" s="26" t="s">
        <v>1204</v>
      </c>
    </row>
    <row r="15" customFormat="false" ht="37.5" hidden="false" customHeight="true" outlineLevel="0" collapsed="false">
      <c r="A15" s="24" t="s">
        <v>1225</v>
      </c>
      <c r="B15" s="26" t="s">
        <v>1226</v>
      </c>
      <c r="C15" s="25" t="s">
        <v>1227</v>
      </c>
      <c r="D15" s="26" t="s">
        <v>1228</v>
      </c>
      <c r="E15" s="26" t="s">
        <v>1229</v>
      </c>
      <c r="F15" s="28" t="s">
        <v>354</v>
      </c>
      <c r="G15" s="28" t="s">
        <v>1230</v>
      </c>
      <c r="H15" s="28" t="s">
        <v>484</v>
      </c>
      <c r="I15" s="28" t="s">
        <v>484</v>
      </c>
      <c r="J15" s="26" t="s">
        <v>1231</v>
      </c>
      <c r="K15" s="26" t="s">
        <v>354</v>
      </c>
      <c r="L15" s="26" t="s">
        <v>151</v>
      </c>
      <c r="M15" s="26" t="s">
        <v>1204</v>
      </c>
    </row>
    <row r="16" customFormat="false" ht="25.5" hidden="false" customHeight="true" outlineLevel="0" collapsed="false">
      <c r="A16" s="24" t="s">
        <v>1232</v>
      </c>
      <c r="B16" s="26" t="s">
        <v>1216</v>
      </c>
      <c r="C16" s="25" t="s">
        <v>1233</v>
      </c>
      <c r="D16" s="26" t="s">
        <v>1234</v>
      </c>
      <c r="E16" s="26" t="s">
        <v>1235</v>
      </c>
      <c r="F16" s="28" t="s">
        <v>1236</v>
      </c>
      <c r="G16" s="28" t="s">
        <v>1237</v>
      </c>
      <c r="H16" s="28" t="s">
        <v>484</v>
      </c>
      <c r="I16" s="28" t="s">
        <v>484</v>
      </c>
      <c r="J16" s="26" t="s">
        <v>1238</v>
      </c>
      <c r="K16" s="26" t="s">
        <v>1239</v>
      </c>
      <c r="L16" s="26" t="s">
        <v>738</v>
      </c>
      <c r="M16" s="26" t="s">
        <v>1240</v>
      </c>
    </row>
    <row r="17" customFormat="false" ht="14.25" hidden="false" customHeight="true" outlineLevel="0" collapsed="false">
      <c r="A17" s="24" t="s">
        <v>1241</v>
      </c>
      <c r="B17" s="26" t="s">
        <v>1216</v>
      </c>
      <c r="C17" s="25" t="s">
        <v>1242</v>
      </c>
      <c r="D17" s="26" t="s">
        <v>1243</v>
      </c>
      <c r="E17" s="26" t="s">
        <v>1244</v>
      </c>
      <c r="F17" s="28" t="s">
        <v>1245</v>
      </c>
      <c r="G17" s="28" t="s">
        <v>1246</v>
      </c>
      <c r="H17" s="28" t="s">
        <v>484</v>
      </c>
      <c r="I17" s="28" t="s">
        <v>484</v>
      </c>
      <c r="J17" s="26" t="s">
        <v>1247</v>
      </c>
      <c r="K17" s="26" t="s">
        <v>1248</v>
      </c>
      <c r="L17" s="26" t="s">
        <v>240</v>
      </c>
      <c r="M17" s="26" t="s">
        <v>1204</v>
      </c>
    </row>
    <row r="18" customFormat="false" ht="25.5" hidden="false" customHeight="true" outlineLevel="0" collapsed="false">
      <c r="A18" s="24" t="s">
        <v>1249</v>
      </c>
      <c r="B18" s="26" t="s">
        <v>1250</v>
      </c>
      <c r="C18" s="25" t="s">
        <v>1251</v>
      </c>
      <c r="D18" s="26" t="s">
        <v>1252</v>
      </c>
      <c r="E18" s="26" t="s">
        <v>1253</v>
      </c>
      <c r="F18" s="28" t="s">
        <v>731</v>
      </c>
      <c r="G18" s="28" t="s">
        <v>1254</v>
      </c>
      <c r="H18" s="28" t="s">
        <v>484</v>
      </c>
      <c r="I18" s="28" t="s">
        <v>1255</v>
      </c>
      <c r="J18" s="26" t="s">
        <v>1161</v>
      </c>
      <c r="K18" s="26" t="s">
        <v>1256</v>
      </c>
      <c r="L18" s="26" t="s">
        <v>1257</v>
      </c>
      <c r="M18" s="26" t="s">
        <v>1204</v>
      </c>
    </row>
    <row r="19" customFormat="false" ht="37.5" hidden="false" customHeight="true" outlineLevel="0" collapsed="false">
      <c r="A19" s="24" t="s">
        <v>1258</v>
      </c>
      <c r="B19" s="26" t="s">
        <v>1216</v>
      </c>
      <c r="C19" s="25" t="s">
        <v>1259</v>
      </c>
      <c r="D19" s="26" t="s">
        <v>1260</v>
      </c>
      <c r="E19" s="26" t="s">
        <v>1261</v>
      </c>
      <c r="F19" s="28" t="s">
        <v>1262</v>
      </c>
      <c r="G19" s="28" t="s">
        <v>1263</v>
      </c>
      <c r="H19" s="28" t="s">
        <v>484</v>
      </c>
      <c r="I19" s="28" t="s">
        <v>484</v>
      </c>
      <c r="J19" s="26" t="s">
        <v>1161</v>
      </c>
      <c r="K19" s="26" t="s">
        <v>1264</v>
      </c>
      <c r="L19" s="26" t="s">
        <v>240</v>
      </c>
      <c r="M19" s="26" t="s">
        <v>151</v>
      </c>
    </row>
    <row r="20" customFormat="false" ht="25.5" hidden="false" customHeight="true" outlineLevel="0" collapsed="false">
      <c r="A20" s="24" t="s">
        <v>1265</v>
      </c>
      <c r="B20" s="26" t="s">
        <v>1146</v>
      </c>
      <c r="C20" s="25" t="s">
        <v>1266</v>
      </c>
      <c r="D20" s="26" t="s">
        <v>1267</v>
      </c>
      <c r="E20" s="26" t="s">
        <v>1268</v>
      </c>
      <c r="F20" s="28" t="s">
        <v>354</v>
      </c>
      <c r="G20" s="28" t="s">
        <v>1269</v>
      </c>
      <c r="H20" s="28" t="s">
        <v>1270</v>
      </c>
      <c r="I20" s="28" t="s">
        <v>368</v>
      </c>
      <c r="J20" s="26" t="s">
        <v>1161</v>
      </c>
      <c r="K20" s="26" t="s">
        <v>1271</v>
      </c>
      <c r="L20" s="26" t="s">
        <v>356</v>
      </c>
      <c r="M20" s="26" t="s">
        <v>151</v>
      </c>
    </row>
    <row r="21" customFormat="false" ht="37.5" hidden="false" customHeight="true" outlineLevel="0" collapsed="false">
      <c r="A21" s="24" t="s">
        <v>1272</v>
      </c>
      <c r="B21" s="26" t="s">
        <v>1226</v>
      </c>
      <c r="C21" s="25" t="s">
        <v>1273</v>
      </c>
      <c r="D21" s="26" t="s">
        <v>151</v>
      </c>
      <c r="E21" s="26" t="s">
        <v>1274</v>
      </c>
      <c r="F21" s="28" t="s">
        <v>354</v>
      </c>
      <c r="G21" s="28" t="s">
        <v>1275</v>
      </c>
      <c r="H21" s="28" t="s">
        <v>1276</v>
      </c>
      <c r="I21" s="28" t="s">
        <v>368</v>
      </c>
      <c r="J21" s="26" t="s">
        <v>1277</v>
      </c>
      <c r="K21" s="26" t="s">
        <v>354</v>
      </c>
      <c r="L21" s="26" t="s">
        <v>1025</v>
      </c>
      <c r="M21" s="26" t="s">
        <v>829</v>
      </c>
    </row>
    <row r="22" customFormat="false" ht="25.5" hidden="false" customHeight="true" outlineLevel="0" collapsed="false">
      <c r="A22" s="24" t="s">
        <v>1278</v>
      </c>
      <c r="B22" s="26" t="s">
        <v>1226</v>
      </c>
      <c r="C22" s="25" t="s">
        <v>1279</v>
      </c>
      <c r="D22" s="26" t="s">
        <v>1280</v>
      </c>
      <c r="E22" s="26" t="s">
        <v>151</v>
      </c>
      <c r="F22" s="28" t="s">
        <v>151</v>
      </c>
      <c r="G22" s="28" t="s">
        <v>1281</v>
      </c>
      <c r="H22" s="28" t="s">
        <v>484</v>
      </c>
      <c r="I22" s="28" t="s">
        <v>1282</v>
      </c>
      <c r="J22" s="26" t="s">
        <v>1161</v>
      </c>
      <c r="K22" s="26" t="s">
        <v>354</v>
      </c>
      <c r="L22" s="26" t="s">
        <v>336</v>
      </c>
      <c r="M22" s="26" t="s">
        <v>151</v>
      </c>
    </row>
  </sheetData>
  <autoFilter ref="A5:M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1"/>
    <col collapsed="false" customWidth="true" hidden="false" outlineLevel="0" max="10" min="10" style="0" width="30"/>
    <col collapsed="false" customWidth="true" hidden="false" outlineLevel="0" max="11" min="11" style="0" width="26"/>
    <col collapsed="false" customWidth="true" hidden="false" outlineLevel="0" max="12" min="12" style="0" width="8"/>
    <col collapsed="false" customWidth="true" hidden="false" outlineLevel="0" max="13" min="13" style="0" width="24"/>
    <col collapsed="false" customWidth="true" hidden="false" outlineLevel="0" max="14" min="14" style="0" width="20"/>
    <col collapsed="false" customWidth="true" hidden="false" outlineLevel="0" max="15" min="15" style="0" width="40"/>
    <col collapsed="false" customWidth="true" hidden="false" outlineLevel="0" max="16" min="16" style="0" width="32"/>
    <col collapsed="false" customWidth="true" hidden="false" outlineLevel="0" max="17" min="17" style="0" width="15"/>
    <col collapsed="false" customWidth="true" hidden="false" outlineLevel="0" max="18" min="18" style="0" width="44"/>
    <col collapsed="false" customWidth="true" hidden="false" outlineLevel="0" max="19" min="19" style="0" width="30"/>
  </cols>
  <sheetData>
    <row r="1" customFormat="false" ht="17.35" hidden="false" customHeight="false" outlineLevel="0" collapsed="false">
      <c r="A1" s="1" t="s">
        <v>1283</v>
      </c>
    </row>
    <row r="2" customFormat="false" ht="15" hidden="false" customHeight="false" outlineLevel="0" collapsed="false">
      <c r="A2" s="2" t="s">
        <v>1284</v>
      </c>
    </row>
    <row r="3" customFormat="false" ht="15" hidden="false" customHeight="false" outlineLevel="0" collapsed="false">
      <c r="A3" s="21" t="s">
        <v>1285</v>
      </c>
    </row>
    <row r="5" customFormat="false" ht="48" hidden="false" customHeight="true" outlineLevel="0" collapsed="false">
      <c r="A5" s="22" t="s">
        <v>1286</v>
      </c>
      <c r="B5" s="22" t="s">
        <v>1287</v>
      </c>
      <c r="C5" s="22" t="s">
        <v>1288</v>
      </c>
      <c r="D5" s="22" t="s">
        <v>1226</v>
      </c>
      <c r="E5" s="22" t="s">
        <v>1289</v>
      </c>
      <c r="F5" s="22" t="s">
        <v>1290</v>
      </c>
      <c r="G5" s="22" t="s">
        <v>1291</v>
      </c>
      <c r="H5" s="22" t="s">
        <v>1292</v>
      </c>
      <c r="I5" s="22" t="s">
        <v>1293</v>
      </c>
      <c r="J5" s="22" t="s">
        <v>1294</v>
      </c>
      <c r="K5" s="22" t="s">
        <v>99</v>
      </c>
      <c r="L5" s="22" t="s">
        <v>85</v>
      </c>
      <c r="M5" s="23" t="s">
        <v>1295</v>
      </c>
      <c r="N5" s="23" t="s">
        <v>1296</v>
      </c>
      <c r="O5" s="23" t="s">
        <v>1297</v>
      </c>
      <c r="P5" s="23" t="s">
        <v>1298</v>
      </c>
      <c r="Q5" s="23" t="s">
        <v>1299</v>
      </c>
      <c r="R5" s="22" t="s">
        <v>1300</v>
      </c>
      <c r="S5" s="23" t="s">
        <v>1301</v>
      </c>
    </row>
    <row r="6" customFormat="false" ht="25.5" hidden="false" customHeight="true" outlineLevel="0" collapsed="false">
      <c r="A6" s="24" t="s">
        <v>1302</v>
      </c>
      <c r="B6" s="26" t="s">
        <v>1303</v>
      </c>
      <c r="C6" s="26" t="s">
        <v>1304</v>
      </c>
      <c r="D6" s="26" t="s">
        <v>1305</v>
      </c>
      <c r="E6" s="27" t="s">
        <v>1306</v>
      </c>
      <c r="F6" s="27" t="s">
        <v>1307</v>
      </c>
      <c r="G6" s="27" t="n">
        <v>33</v>
      </c>
      <c r="H6" s="26" t="s">
        <v>1308</v>
      </c>
      <c r="I6" s="27" t="s">
        <v>1309</v>
      </c>
      <c r="J6" s="26" t="s">
        <v>691</v>
      </c>
      <c r="K6" s="26" t="s">
        <v>1310</v>
      </c>
      <c r="L6" s="24" t="s">
        <v>689</v>
      </c>
      <c r="M6" s="26" t="str">
        <f aca="false">IFERROR(INDEX(W1_WYBOR!$B$6:$B$80,MATCH($L6,W1_WYBOR!$A$6:$A$80,0)),"")</f>
        <v>Dostępność — testy i audyt</v>
      </c>
      <c r="N6" s="26" t="str">
        <f aca="false">IFERROR(INDEX(W1_WYBOR!$F$6:$F$80,MATCH($L6,W1_WYBOR!$A$6:$A$80,0)),"")</f>
        <v>OPEN SOURCE + audyt ludzki</v>
      </c>
      <c r="O6" s="28" t="str">
        <f aca="false">IFERROR(INDEX(W1_WYBOR!$L$6:$L$80,MATCH($L6,W1_WYBOR!$A$6:$A$80,0)),"")</f>
        <v>axe w testach E2E + audyt ręczny przed wydaniem</v>
      </c>
      <c r="P6" s="28" t="str">
        <f aca="false">IFERROR(INDEX(W1_WYBOR!$M$6:$M$80,MATCH($L6,W1_WYBOR!$A$6:$A$80,0)),"")</f>
        <v>Audyt zewnętrzny (5–15 tys. zł wg pliku)</v>
      </c>
      <c r="Q6" s="27" t="str">
        <f aca="false">IFERROR(INDEX(W1_WYBOR!$P$6:$P$80,MATCH($L6,W1_WYBOR!$A$6:$A$80,0)),"")</f>
        <v>BEZ ZMIAN</v>
      </c>
      <c r="R6" s="26"/>
      <c r="S6" s="26" t="str">
        <f aca="false">IFERROR(INDEX(W1_WYBOR!$V$6:$V$80,MATCH($L6,W1_WYBOR!$A$6:$A$80,0)),"")</f>
        <v>Częściowo: semantyka, fokus, kontrast; brak axe w CI — do dodania</v>
      </c>
    </row>
    <row r="7" customFormat="false" ht="25.5" hidden="false" customHeight="true" outlineLevel="0" collapsed="false">
      <c r="A7" s="24" t="s">
        <v>1311</v>
      </c>
      <c r="B7" s="26" t="s">
        <v>1312</v>
      </c>
      <c r="C7" s="26" t="s">
        <v>1304</v>
      </c>
      <c r="D7" s="26" t="s">
        <v>1305</v>
      </c>
      <c r="E7" s="27" t="s">
        <v>1306</v>
      </c>
      <c r="F7" s="27" t="s">
        <v>1307</v>
      </c>
      <c r="G7" s="27" t="n">
        <v>33</v>
      </c>
      <c r="H7" s="26" t="s">
        <v>1308</v>
      </c>
      <c r="I7" s="27" t="s">
        <v>1309</v>
      </c>
      <c r="J7" s="26" t="s">
        <v>1121</v>
      </c>
      <c r="K7" s="26" t="s">
        <v>151</v>
      </c>
      <c r="L7" s="24" t="s">
        <v>1119</v>
      </c>
      <c r="M7" s="26" t="str">
        <f aca="false">IFERROR(INDEX(W1_WYBOR!$B$6:$B$80,MATCH($L7,W1_WYBOR!$A$6:$A$80,0)),"")</f>
        <v>Funkcja własna na wspólnych komponentach (W2)</v>
      </c>
      <c r="N7" s="26" t="str">
        <f aca="false">IFERROR(INDEX(W1_WYBOR!$F$6:$F$80,MATCH($L7,W1_WYBOR!$A$6:$A$80,0)),"")</f>
        <v>WŁASNE na komponentach z W2</v>
      </c>
      <c r="O7" s="28" t="str">
        <f aca="false">IFERROR(INDEX(W1_WYBOR!$L$6:$L$80,MATCH($L7,W1_WYBOR!$A$6:$A$80,0)),"")</f>
        <v>Budujemy w aplikacji Eternal na komponentach W2</v>
      </c>
      <c r="P7" s="28" t="str">
        <f aca="false">IFERROR(INDEX(W1_WYBOR!$M$6:$M$80,MATCH($L7,W1_WYBOR!$A$6:$A$80,0)),"")</f>
        <v>Jak MVP</v>
      </c>
      <c r="Q7" s="27" t="str">
        <f aca="false">IFERROR(INDEX(W1_WYBOR!$P$6:$P$80,MATCH($L7,W1_WYBOR!$A$6:$A$80,0)),"")</f>
        <v>BEZ ZMIAN</v>
      </c>
      <c r="R7" s="26"/>
      <c r="S7" s="26" t="str">
        <f aca="false">IFERROR(INDEX(W1_WYBOR!$V$6:$V$80,MATCH($L7,W1_WYBOR!$A$6:$A$80,0)),"")</f>
        <v>Zob. kolumna uwag w W3</v>
      </c>
    </row>
    <row r="8" customFormat="false" ht="37.5" hidden="false" customHeight="true" outlineLevel="0" collapsed="false">
      <c r="A8" s="24" t="s">
        <v>1313</v>
      </c>
      <c r="B8" s="26" t="s">
        <v>1314</v>
      </c>
      <c r="C8" s="26" t="s">
        <v>1304</v>
      </c>
      <c r="D8" s="26" t="s">
        <v>1305</v>
      </c>
      <c r="E8" s="27" t="s">
        <v>1306</v>
      </c>
      <c r="F8" s="27" t="s">
        <v>1307</v>
      </c>
      <c r="G8" s="27" t="n">
        <v>33</v>
      </c>
      <c r="H8" s="26" t="s">
        <v>1308</v>
      </c>
      <c r="I8" s="27" t="s">
        <v>1309</v>
      </c>
      <c r="J8" s="26" t="s">
        <v>1315</v>
      </c>
      <c r="K8" s="26" t="s">
        <v>1316</v>
      </c>
      <c r="L8" s="24" t="s">
        <v>1106</v>
      </c>
      <c r="M8" s="26" t="str">
        <f aca="false">IFERROR(INDEX(W1_WYBOR!$B$6:$B$80,MATCH($L8,W1_WYBOR!$A$6:$A$80,0)),"")</f>
        <v>Funkcja systemu telefonu, przeglądarki lub urządzenia (nie kupujemy)</v>
      </c>
      <c r="N8" s="26" t="str">
        <f aca="false">IFERROR(INDEX(W1_WYBOR!$F$6:$F$80,MATCH($L8,W1_WYBOR!$A$6:$A$80,0)),"")</f>
        <v>SYSTEM</v>
      </c>
      <c r="O8" s="28" t="str">
        <f aca="false">IFERROR(INDEX(W1_WYBOR!$L$6:$L$80,MATCH($L8,W1_WYBOR!$A$6:$A$80,0)),"")</f>
        <v>Funkcja systemu + nasza obsługa w aplikacji</v>
      </c>
      <c r="P8" s="28" t="str">
        <f aca="false">IFERROR(INDEX(W1_WYBOR!$M$6:$M$80,MATCH($L8,W1_WYBOR!$A$6:$A$80,0)),"")</f>
        <v>Jak MVP</v>
      </c>
      <c r="Q8" s="27" t="str">
        <f aca="false">IFERROR(INDEX(W1_WYBOR!$P$6:$P$80,MATCH($L8,W1_WYBOR!$A$6:$A$80,0)),"")</f>
        <v>BEZ ZMIAN</v>
      </c>
      <c r="R8" s="26"/>
      <c r="S8" s="26" t="str">
        <f aca="false">IFERROR(INDEX(W1_WYBOR!$V$6:$V$80,MATCH($L8,W1_WYBOR!$A$6:$A$80,0)),"")</f>
        <v>Częściowo (PWA); pełny dostęp w aplikacji mobilnej</v>
      </c>
    </row>
    <row r="9" customFormat="false" ht="37.5" hidden="false" customHeight="true" outlineLevel="0" collapsed="false">
      <c r="A9" s="24" t="s">
        <v>1317</v>
      </c>
      <c r="B9" s="26" t="s">
        <v>1318</v>
      </c>
      <c r="C9" s="26" t="s">
        <v>1304</v>
      </c>
      <c r="D9" s="26" t="s">
        <v>1305</v>
      </c>
      <c r="E9" s="27" t="s">
        <v>1306</v>
      </c>
      <c r="F9" s="27" t="s">
        <v>1307</v>
      </c>
      <c r="G9" s="27" t="n">
        <v>33</v>
      </c>
      <c r="H9" s="26" t="s">
        <v>1308</v>
      </c>
      <c r="I9" s="27" t="s">
        <v>1309</v>
      </c>
      <c r="J9" s="26" t="s">
        <v>1319</v>
      </c>
      <c r="K9" s="26" t="s">
        <v>1320</v>
      </c>
      <c r="L9" s="24" t="s">
        <v>1106</v>
      </c>
      <c r="M9" s="26" t="str">
        <f aca="false">IFERROR(INDEX(W1_WYBOR!$B$6:$B$80,MATCH($L9,W1_WYBOR!$A$6:$A$80,0)),"")</f>
        <v>Funkcja systemu telefonu, przeglądarki lub urządzenia (nie kupujemy)</v>
      </c>
      <c r="N9" s="26" t="str">
        <f aca="false">IFERROR(INDEX(W1_WYBOR!$F$6:$F$80,MATCH($L9,W1_WYBOR!$A$6:$A$80,0)),"")</f>
        <v>SYSTEM</v>
      </c>
      <c r="O9" s="28" t="str">
        <f aca="false">IFERROR(INDEX(W1_WYBOR!$L$6:$L$80,MATCH($L9,W1_WYBOR!$A$6:$A$80,0)),"")</f>
        <v>Funkcja systemu + nasza obsługa w aplikacji</v>
      </c>
      <c r="P9" s="28" t="str">
        <f aca="false">IFERROR(INDEX(W1_WYBOR!$M$6:$M$80,MATCH($L9,W1_WYBOR!$A$6:$A$80,0)),"")</f>
        <v>Jak MVP</v>
      </c>
      <c r="Q9" s="27" t="str">
        <f aca="false">IFERROR(INDEX(W1_WYBOR!$P$6:$P$80,MATCH($L9,W1_WYBOR!$A$6:$A$80,0)),"")</f>
        <v>BEZ ZMIAN</v>
      </c>
      <c r="R9" s="26"/>
      <c r="S9" s="26" t="str">
        <f aca="false">IFERROR(INDEX(W1_WYBOR!$V$6:$V$80,MATCH($L9,W1_WYBOR!$A$6:$A$80,0)),"")</f>
        <v>Częściowo (PWA); pełny dostęp w aplikacji mobilnej</v>
      </c>
    </row>
    <row r="10" customFormat="false" ht="25.5" hidden="false" customHeight="true" outlineLevel="0" collapsed="false">
      <c r="A10" s="24" t="s">
        <v>1321</v>
      </c>
      <c r="B10" s="26" t="s">
        <v>1322</v>
      </c>
      <c r="C10" s="26" t="s">
        <v>1304</v>
      </c>
      <c r="D10" s="26" t="s">
        <v>1305</v>
      </c>
      <c r="E10" s="27" t="s">
        <v>1306</v>
      </c>
      <c r="F10" s="27" t="s">
        <v>1307</v>
      </c>
      <c r="G10" s="27" t="n">
        <v>7</v>
      </c>
      <c r="H10" s="26" t="s">
        <v>1323</v>
      </c>
      <c r="I10" s="27" t="s">
        <v>1309</v>
      </c>
      <c r="J10" s="26" t="s">
        <v>493</v>
      </c>
      <c r="K10" s="26" t="s">
        <v>1324</v>
      </c>
      <c r="L10" s="24" t="s">
        <v>491</v>
      </c>
      <c r="M10" s="26" t="str">
        <f aca="false">IFERROR(INDEX(W1_WYBOR!$B$6:$B$80,MATCH($L10,W1_WYBOR!$A$6:$A$80,0)),"")</f>
        <v>Pulpit i wykresy</v>
      </c>
      <c r="N10" s="26" t="str">
        <f aca="false">IFERROR(INDEX(W1_WYBOR!$F$6:$F$80,MATCH($L10,W1_WYBOR!$A$6:$A$80,0)),"")</f>
        <v>OPEN SOURCE w aplikacji</v>
      </c>
      <c r="O10" s="28" t="str">
        <f aca="false">IFERROR(INDEX(W1_WYBOR!$L$6:$L$80,MATCH($L10,W1_WYBOR!$A$6:$A$80,0)),"")</f>
        <v>ECharts (web) + Victory Native (mobile); proste trendy na własnym SVG</v>
      </c>
      <c r="P10" s="28" t="str">
        <f aca="false">IFERROR(INDEX(W1_WYBOR!$M$6:$M$80,MATCH($L10,W1_WYBOR!$A$6:$A$80,0)),"")</f>
        <v>Jak MVP; Superset dla zespołu</v>
      </c>
      <c r="Q10" s="27" t="str">
        <f aca="false">IFERROR(INDEX(W1_WYBOR!$P$6:$P$80,MATCH($L10,W1_WYBOR!$A$6:$A$80,0)),"")</f>
        <v>BEZ ZMIAN</v>
      </c>
      <c r="R10" s="26"/>
      <c r="S10" s="26" t="str">
        <f aca="false">IFERROR(INDEX(W1_WYBOR!$V$6:$V$80,MATCH($L10,W1_WYBOR!$A$6:$A$80,0)),"")</f>
        <v>Zaimplementowane: wykres trendu SVG (responsywny, dostępny)</v>
      </c>
    </row>
    <row r="11" customFormat="false" ht="25.5" hidden="false" customHeight="true" outlineLevel="0" collapsed="false">
      <c r="A11" s="24" t="s">
        <v>1325</v>
      </c>
      <c r="B11" s="26" t="s">
        <v>1326</v>
      </c>
      <c r="C11" s="26" t="s">
        <v>1304</v>
      </c>
      <c r="D11" s="26" t="s">
        <v>1305</v>
      </c>
      <c r="E11" s="27" t="s">
        <v>1306</v>
      </c>
      <c r="F11" s="27" t="s">
        <v>1307</v>
      </c>
      <c r="G11" s="27" t="n">
        <v>7</v>
      </c>
      <c r="H11" s="26" t="s">
        <v>1323</v>
      </c>
      <c r="I11" s="27" t="s">
        <v>1309</v>
      </c>
      <c r="J11" s="26" t="s">
        <v>493</v>
      </c>
      <c r="K11" s="26" t="s">
        <v>1324</v>
      </c>
      <c r="L11" s="24" t="s">
        <v>491</v>
      </c>
      <c r="M11" s="26" t="str">
        <f aca="false">IFERROR(INDEX(W1_WYBOR!$B$6:$B$80,MATCH($L11,W1_WYBOR!$A$6:$A$80,0)),"")</f>
        <v>Pulpit i wykresy</v>
      </c>
      <c r="N11" s="26" t="str">
        <f aca="false">IFERROR(INDEX(W1_WYBOR!$F$6:$F$80,MATCH($L11,W1_WYBOR!$A$6:$A$80,0)),"")</f>
        <v>OPEN SOURCE w aplikacji</v>
      </c>
      <c r="O11" s="28" t="str">
        <f aca="false">IFERROR(INDEX(W1_WYBOR!$L$6:$L$80,MATCH($L11,W1_WYBOR!$A$6:$A$80,0)),"")</f>
        <v>ECharts (web) + Victory Native (mobile); proste trendy na własnym SVG</v>
      </c>
      <c r="P11" s="28" t="str">
        <f aca="false">IFERROR(INDEX(W1_WYBOR!$M$6:$M$80,MATCH($L11,W1_WYBOR!$A$6:$A$80,0)),"")</f>
        <v>Jak MVP; Superset dla zespołu</v>
      </c>
      <c r="Q11" s="27" t="str">
        <f aca="false">IFERROR(INDEX(W1_WYBOR!$P$6:$P$80,MATCH($L11,W1_WYBOR!$A$6:$A$80,0)),"")</f>
        <v>BEZ ZMIAN</v>
      </c>
      <c r="R11" s="26"/>
      <c r="S11" s="26" t="str">
        <f aca="false">IFERROR(INDEX(W1_WYBOR!$V$6:$V$80,MATCH($L11,W1_WYBOR!$A$6:$A$80,0)),"")</f>
        <v>Zaimplementowane: wykres trendu SVG (responsywny, dostępny)</v>
      </c>
    </row>
    <row r="12" customFormat="false" ht="48.75" hidden="false" customHeight="true" outlineLevel="0" collapsed="false">
      <c r="A12" s="24" t="s">
        <v>1327</v>
      </c>
      <c r="B12" s="26" t="s">
        <v>1328</v>
      </c>
      <c r="C12" s="26" t="s">
        <v>1304</v>
      </c>
      <c r="D12" s="26" t="s">
        <v>1305</v>
      </c>
      <c r="E12" s="27" t="s">
        <v>1306</v>
      </c>
      <c r="F12" s="27" t="s">
        <v>1307</v>
      </c>
      <c r="G12" s="27" t="n">
        <v>8</v>
      </c>
      <c r="H12" s="26" t="s">
        <v>1329</v>
      </c>
      <c r="I12" s="27" t="s">
        <v>1309</v>
      </c>
      <c r="J12" s="26" t="s">
        <v>456</v>
      </c>
      <c r="K12" s="26" t="s">
        <v>1330</v>
      </c>
      <c r="L12" s="24" t="s">
        <v>454</v>
      </c>
      <c r="M12" s="26" t="str">
        <f aca="false">IFERROR(INDEX(W1_WYBOR!$B$6:$B$80,MATCH($L12,W1_WYBOR!$A$6:$A$80,0)),"")</f>
        <v>Powiadomienia i przypomnienia</v>
      </c>
      <c r="N12" s="26" t="str">
        <f aca="false">IFERROR(INDEX(W1_WYBOR!$F$6:$F$80,MATCH($L12,W1_WYBOR!$A$6:$A$80,0)),"")</f>
        <v>WŁASNA KOLEJKA na bezpłatnych kanałach</v>
      </c>
      <c r="O12" s="28" t="str">
        <f aca="false">IFERROR(INDEX(W1_WYBOR!$L$6:$L$80,MATCH($L12,W1_WYBOR!$A$6:$A$80,0)),"")</f>
        <v>Nasza kolejka (gotowa) + APNs/FCM/Web Push + Amazon SES (region UE) + SMSAPI</v>
      </c>
      <c r="P12" s="28" t="str">
        <f aca="false">IFERROR(INDEX(W1_WYBOR!$M$6:$M$80,MATCH($L12,W1_WYBOR!$A$6:$A$80,0)),"")</f>
        <v>Novu na naszym serwerze, gdy rośnie liczba kanałów, szablonów i preferencji</v>
      </c>
      <c r="Q12" s="27" t="str">
        <f aca="false">IFERROR(INDEX(W1_WYBOR!$P$6:$P$80,MATCH($L12,W1_WYBOR!$A$6:$A$80,0)),"")</f>
        <v>BEZ ZMIAN</v>
      </c>
      <c r="R12" s="26"/>
      <c r="S12" s="26" t="str">
        <f aca="false">IFERROR(INDEX(W1_WYBOR!$V$6:$V$80,MATCH($L12,W1_WYBOR!$A$6:$A$80,0)),"")</f>
        <v>Zaimplementowane: kolejka, Web Push, SMTP, SMS, preferencje, przypomnienia o wizytach</v>
      </c>
    </row>
    <row r="13" customFormat="false" ht="37.5" hidden="false" customHeight="true" outlineLevel="0" collapsed="false">
      <c r="A13" s="24" t="s">
        <v>1331</v>
      </c>
      <c r="B13" s="26" t="s">
        <v>1332</v>
      </c>
      <c r="C13" s="26" t="s">
        <v>1304</v>
      </c>
      <c r="D13" s="26" t="s">
        <v>1305</v>
      </c>
      <c r="E13" s="27" t="s">
        <v>1306</v>
      </c>
      <c r="F13" s="27" t="s">
        <v>1307</v>
      </c>
      <c r="G13" s="27" t="n">
        <v>4</v>
      </c>
      <c r="H13" s="26" t="s">
        <v>1333</v>
      </c>
      <c r="I13" s="27" t="s">
        <v>1309</v>
      </c>
      <c r="J13" s="26" t="s">
        <v>1334</v>
      </c>
      <c r="K13" s="26" t="s">
        <v>1335</v>
      </c>
      <c r="L13" s="24" t="s">
        <v>278</v>
      </c>
      <c r="M13" s="26" t="str">
        <f aca="false">IFERROR(INDEX(W1_WYBOR!$B$6:$B$80,MATCH($L13,W1_WYBOR!$A$6:$A$80,0)),"")</f>
        <v>Odczyt dokumentów i wyników (OCR + parser)</v>
      </c>
      <c r="N13" s="26" t="str">
        <f aca="false">IFERROR(INDEX(W1_WYBOR!$F$6:$F$80,MATCH($L13,W1_WYBOR!$A$6:$A$80,0)),"")</f>
        <v>HYBRYDA: kupiony silnik + własny parser polski</v>
      </c>
      <c r="O13" s="28" t="str">
        <f aca="false">IFERROR(INDEX(W1_WYBOR!$L$6:$L$80,MATCH($L13,W1_WYBOR!$A$6:$A$80,0)),"")</f>
        <v>Najpierw warstwa tekstowa PDF (0 zł), skany i zdjęcia → Mistral OCR 4; nasz parser 3–5 sieci laboratoriów; zatwierdzenie przez użytkownika</v>
      </c>
      <c r="P13" s="28" t="str">
        <f aca="false">IFERROR(INDEX(W1_WYBOR!$M$6:$M$80,MATCH($L13,W1_WYBOR!$A$6:$A$80,0)),"")</f>
        <v>Mistral OCR wsadowo + PaddleOCR/Docling u siebie dla prostych dokumentów</v>
      </c>
      <c r="Q13" s="27" t="str">
        <f aca="false">IFERROR(INDEX(W1_WYBOR!$P$6:$P$80,MATCH($L13,W1_WYBOR!$A$6:$A$80,0)),"")</f>
        <v>ZMIANA</v>
      </c>
      <c r="R13" s="26" t="s">
        <v>1336</v>
      </c>
      <c r="S13" s="26" t="str">
        <f aca="false">IFERROR(INDEX(W1_WYBOR!$V$6:$V$80,MATCH($L13,W1_WYBOR!$A$6:$A$80,0)),"")</f>
        <v>Częściowo: wgrywanie dokumentów; brak odczytu treści</v>
      </c>
    </row>
    <row r="14" customFormat="false" ht="37.5" hidden="false" customHeight="true" outlineLevel="0" collapsed="false">
      <c r="A14" s="24" t="s">
        <v>1337</v>
      </c>
      <c r="B14" s="26" t="s">
        <v>1338</v>
      </c>
      <c r="C14" s="26" t="s">
        <v>1304</v>
      </c>
      <c r="D14" s="26" t="s">
        <v>1305</v>
      </c>
      <c r="E14" s="27" t="s">
        <v>1306</v>
      </c>
      <c r="F14" s="27" t="s">
        <v>1307</v>
      </c>
      <c r="G14" s="27" t="n">
        <v>4</v>
      </c>
      <c r="H14" s="26" t="s">
        <v>1333</v>
      </c>
      <c r="I14" s="27" t="s">
        <v>1309</v>
      </c>
      <c r="J14" s="26" t="s">
        <v>1339</v>
      </c>
      <c r="K14" s="26" t="s">
        <v>1340</v>
      </c>
      <c r="L14" s="24" t="s">
        <v>298</v>
      </c>
      <c r="M14" s="26" t="str">
        <f aca="false">IFERROR(INDEX(W1_WYBOR!$B$6:$B$80,MATCH($L14,W1_WYBOR!$A$6:$A$80,0)),"")</f>
        <v>Modele językowe (brama modeli)</v>
      </c>
      <c r="N14" s="26" t="str">
        <f aca="false">IFERROR(INDEX(W1_WYBOR!$F$6:$F$80,MATCH($L14,W1_WYBOR!$A$6:$A$80,0)),"")</f>
        <v>KUPUJEMY USŁUGĘ za własną bramą</v>
      </c>
      <c r="O14" s="28" t="str">
        <f aca="false">IFERROR(INDEX(W1_WYBOR!$L$6:$L$80,MATCH($L14,W1_WYBOR!$A$6:$A$80,0)),"")</f>
        <v>Claude przez Amazon Bedrock (profil eu.*) za naszą bramą LiteLLM + Mistral jako drugi dostawca z UE (przełączanie)</v>
      </c>
      <c r="P14" s="28" t="str">
        <f aca="false">IFERROR(INDEX(W1_WYBOR!$M$6:$M$80,MATCH($L14,W1_WYBOR!$A$6:$A$80,0)),"")</f>
        <v>+ Bielik v3 na własnym GPU w UE do zadań prostych (porządkowanie pól, klasyfikacja)</v>
      </c>
      <c r="Q14" s="27" t="str">
        <f aca="false">IFERROR(INDEX(W1_WYBOR!$P$6:$P$80,MATCH($L14,W1_WYBOR!$A$6:$A$80,0)),"")</f>
        <v>DOPRECYZOWANIE</v>
      </c>
      <c r="R14" s="26" t="s">
        <v>1341</v>
      </c>
      <c r="S14" s="26" t="str">
        <f aca="false">IFERROR(INDEX(W1_WYBOR!$V$6:$V$80,MATCH($L14,W1_WYBOR!$A$6:$A$80,0)),"")</f>
        <v>Brak — świadomie (granica MDR w obecnej wersji)</v>
      </c>
    </row>
    <row r="15" customFormat="false" ht="25.5" hidden="false" customHeight="true" outlineLevel="0" collapsed="false">
      <c r="A15" s="24" t="s">
        <v>1342</v>
      </c>
      <c r="B15" s="26" t="s">
        <v>1343</v>
      </c>
      <c r="C15" s="26" t="s">
        <v>1304</v>
      </c>
      <c r="D15" s="26" t="s">
        <v>1305</v>
      </c>
      <c r="E15" s="27" t="s">
        <v>1306</v>
      </c>
      <c r="F15" s="27" t="s">
        <v>1307</v>
      </c>
      <c r="G15" s="27" t="n">
        <v>4</v>
      </c>
      <c r="H15" s="26" t="s">
        <v>1333</v>
      </c>
      <c r="I15" s="27" t="s">
        <v>1309</v>
      </c>
      <c r="J15" s="26" t="s">
        <v>1121</v>
      </c>
      <c r="K15" s="26" t="s">
        <v>151</v>
      </c>
      <c r="L15" s="24" t="s">
        <v>1119</v>
      </c>
      <c r="M15" s="26" t="str">
        <f aca="false">IFERROR(INDEX(W1_WYBOR!$B$6:$B$80,MATCH($L15,W1_WYBOR!$A$6:$A$80,0)),"")</f>
        <v>Funkcja własna na wspólnych komponentach (W2)</v>
      </c>
      <c r="N15" s="26" t="str">
        <f aca="false">IFERROR(INDEX(W1_WYBOR!$F$6:$F$80,MATCH($L15,W1_WYBOR!$A$6:$A$80,0)),"")</f>
        <v>WŁASNE na komponentach z W2</v>
      </c>
      <c r="O15" s="28" t="str">
        <f aca="false">IFERROR(INDEX(W1_WYBOR!$L$6:$L$80,MATCH($L15,W1_WYBOR!$A$6:$A$80,0)),"")</f>
        <v>Budujemy w aplikacji Eternal na komponentach W2</v>
      </c>
      <c r="P15" s="28" t="str">
        <f aca="false">IFERROR(INDEX(W1_WYBOR!$M$6:$M$80,MATCH($L15,W1_WYBOR!$A$6:$A$80,0)),"")</f>
        <v>Jak MVP</v>
      </c>
      <c r="Q15" s="27" t="str">
        <f aca="false">IFERROR(INDEX(W1_WYBOR!$P$6:$P$80,MATCH($L15,W1_WYBOR!$A$6:$A$80,0)),"")</f>
        <v>BEZ ZMIAN</v>
      </c>
      <c r="R15" s="26"/>
      <c r="S15" s="26" t="str">
        <f aca="false">IFERROR(INDEX(W1_WYBOR!$V$6:$V$80,MATCH($L15,W1_WYBOR!$A$6:$A$80,0)),"")</f>
        <v>Zob. kolumna uwag w W3</v>
      </c>
    </row>
    <row r="16" customFormat="false" ht="37.5" hidden="false" customHeight="true" outlineLevel="0" collapsed="false">
      <c r="A16" s="24" t="s">
        <v>1344</v>
      </c>
      <c r="B16" s="26" t="s">
        <v>1345</v>
      </c>
      <c r="C16" s="26" t="s">
        <v>1304</v>
      </c>
      <c r="D16" s="26" t="s">
        <v>1305</v>
      </c>
      <c r="E16" s="27" t="s">
        <v>1306</v>
      </c>
      <c r="F16" s="27" t="s">
        <v>1307</v>
      </c>
      <c r="G16" s="27" t="n">
        <v>6</v>
      </c>
      <c r="H16" s="26" t="s">
        <v>1346</v>
      </c>
      <c r="I16" s="27" t="s">
        <v>1309</v>
      </c>
      <c r="J16" s="26" t="s">
        <v>320</v>
      </c>
      <c r="K16" s="26" t="s">
        <v>1347</v>
      </c>
      <c r="L16" s="24" t="s">
        <v>318</v>
      </c>
      <c r="M16" s="26" t="str">
        <f aca="false">IFERROR(INDEX(W1_WYBOR!$B$6:$B$80,MATCH($L16,W1_WYBOR!$A$6:$A$80,0)),"")</f>
        <v>Objaśnianie i interpretacja wyników (wyrób medyczny partnera)</v>
      </c>
      <c r="N16" s="26" t="str">
        <f aca="false">IFERROR(INDEX(W1_WYBOR!$F$6:$F$80,MATCH($L16,W1_WYBOR!$A$6:$A$80,0)),"")</f>
        <v>POŚREDNICTWO PARTNERA (CE) + własny słownik</v>
      </c>
      <c r="O16" s="28" t="str">
        <f aca="false">IFERROR(INDEX(W1_WYBOR!$L$6:$L$80,MATCH($L16,W1_WYBOR!$A$6:$A$80,0)),"")</f>
        <v>Słownik 200–300 haseł + Labplus jako moduł partnera dla interpretacji wyniku konkretnej osoby</v>
      </c>
      <c r="P16" s="28" t="str">
        <f aca="false">IFERROR(INDEX(W1_WYBOR!$M$6:$M$80,MATCH($L16,W1_WYBOR!$A$6:$A$80,0)),"")</f>
        <v>Labplus (pakiet „Dodatek med”)</v>
      </c>
      <c r="Q16" s="27" t="str">
        <f aca="false">IFERROR(INDEX(W1_WYBOR!$P$6:$P$80,MATCH($L16,W1_WYBOR!$A$6:$A$80,0)),"")</f>
        <v>BEZ ZMIAN</v>
      </c>
      <c r="R16" s="26" t="s">
        <v>1348</v>
      </c>
      <c r="S16" s="26" t="str">
        <f aca="false">IFERROR(INDEX(W1_WYBOR!$V$6:$V$80,MATCH($L16,W1_WYBOR!$A$6:$A$80,0)),"")</f>
        <v>Świadomie brak interpretacji (COMPLIANCE.md §1)</v>
      </c>
    </row>
    <row r="17" customFormat="false" ht="48.75" hidden="false" customHeight="true" outlineLevel="0" collapsed="false">
      <c r="A17" s="24" t="s">
        <v>1349</v>
      </c>
      <c r="B17" s="26" t="s">
        <v>1350</v>
      </c>
      <c r="C17" s="26" t="s">
        <v>1304</v>
      </c>
      <c r="D17" s="26" t="s">
        <v>1305</v>
      </c>
      <c r="E17" s="27" t="s">
        <v>1306</v>
      </c>
      <c r="F17" s="27" t="s">
        <v>1307</v>
      </c>
      <c r="G17" s="27" t="n">
        <v>5</v>
      </c>
      <c r="H17" s="26" t="s">
        <v>1351</v>
      </c>
      <c r="I17" s="27" t="s">
        <v>1309</v>
      </c>
      <c r="J17" s="26" t="s">
        <v>223</v>
      </c>
      <c r="K17" s="26" t="s">
        <v>1352</v>
      </c>
      <c r="L17" s="24" t="s">
        <v>221</v>
      </c>
      <c r="M17" s="26" t="str">
        <f aca="false">IFERROR(INDEX(W1_WYBOR!$B$6:$B$80,MATCH($L17,W1_WYBOR!$A$6:$A$80,0)),"")</f>
        <v>Rekord zdrowia — serwer FHIR R4</v>
      </c>
      <c r="N17" s="26" t="str">
        <f aca="false">IFERROR(INDEX(W1_WYBOR!$F$6:$F$80,MATCH($L17,W1_WYBOR!$A$6:$A$80,0)),"")</f>
        <v>BIERZEMY OPEN SOURCE + nasza warstwa</v>
      </c>
      <c r="O17" s="28" t="str">
        <f aca="false">IFERROR(INDEX(W1_WYBOR!$L$6:$L$80,MATCH($L17,W1_WYBOR!$A$6:$A$80,0)),"")</f>
        <v>Medplum na własnej infrastrukturze w UE (adapter gotowy, ten sam język co aplikacja)</v>
      </c>
      <c r="P17" s="28" t="str">
        <f aca="false">IFERROR(INDEX(W1_WYBOR!$M$6:$M$80,MATCH($L17,W1_WYBOR!$A$6:$A$80,0)),"")</f>
        <v>Medplum w wysokiej dostępności (zarządzany PostgreSQL); opcjonalnie wsparcie Enterprise</v>
      </c>
      <c r="Q17" s="27" t="str">
        <f aca="false">IFERROR(INDEX(W1_WYBOR!$P$6:$P$80,MATCH($L17,W1_WYBOR!$A$6:$A$80,0)),"")</f>
        <v>DOPRECYZOWANIE</v>
      </c>
      <c r="R17" s="26"/>
      <c r="S17" s="26" t="str">
        <f aca="false">IFERROR(INDEX(W1_WYBOR!$V$6:$V$80,MATCH($L17,W1_WYBOR!$A$6:$A$80,0)),"")</f>
        <v>Zaimplementowane: repozytorium FHIR z trzema zapleczami (lokalne, Medplum przez SDK, dowolny FHIR R4); rezerwacja z If-Match</v>
      </c>
    </row>
    <row r="18" customFormat="false" ht="48.75" hidden="false" customHeight="true" outlineLevel="0" collapsed="false">
      <c r="A18" s="24" t="s">
        <v>1353</v>
      </c>
      <c r="B18" s="26" t="s">
        <v>1354</v>
      </c>
      <c r="C18" s="26" t="s">
        <v>1304</v>
      </c>
      <c r="D18" s="26" t="s">
        <v>1305</v>
      </c>
      <c r="E18" s="27" t="s">
        <v>1306</v>
      </c>
      <c r="F18" s="27" t="s">
        <v>1307</v>
      </c>
      <c r="G18" s="27" t="n">
        <v>5</v>
      </c>
      <c r="H18" s="26" t="s">
        <v>1351</v>
      </c>
      <c r="I18" s="27" t="s">
        <v>1309</v>
      </c>
      <c r="J18" s="26" t="s">
        <v>223</v>
      </c>
      <c r="K18" s="26" t="s">
        <v>1352</v>
      </c>
      <c r="L18" s="24" t="s">
        <v>221</v>
      </c>
      <c r="M18" s="26" t="str">
        <f aca="false">IFERROR(INDEX(W1_WYBOR!$B$6:$B$80,MATCH($L18,W1_WYBOR!$A$6:$A$80,0)),"")</f>
        <v>Rekord zdrowia — serwer FHIR R4</v>
      </c>
      <c r="N18" s="26" t="str">
        <f aca="false">IFERROR(INDEX(W1_WYBOR!$F$6:$F$80,MATCH($L18,W1_WYBOR!$A$6:$A$80,0)),"")</f>
        <v>BIERZEMY OPEN SOURCE + nasza warstwa</v>
      </c>
      <c r="O18" s="28" t="str">
        <f aca="false">IFERROR(INDEX(W1_WYBOR!$L$6:$L$80,MATCH($L18,W1_WYBOR!$A$6:$A$80,0)),"")</f>
        <v>Medplum na własnej infrastrukturze w UE (adapter gotowy, ten sam język co aplikacja)</v>
      </c>
      <c r="P18" s="28" t="str">
        <f aca="false">IFERROR(INDEX(W1_WYBOR!$M$6:$M$80,MATCH($L18,W1_WYBOR!$A$6:$A$80,0)),"")</f>
        <v>Medplum w wysokiej dostępności (zarządzany PostgreSQL); opcjonalnie wsparcie Enterprise</v>
      </c>
      <c r="Q18" s="27" t="str">
        <f aca="false">IFERROR(INDEX(W1_WYBOR!$P$6:$P$80,MATCH($L18,W1_WYBOR!$A$6:$A$80,0)),"")</f>
        <v>DOPRECYZOWANIE</v>
      </c>
      <c r="R18" s="26"/>
      <c r="S18" s="26" t="str">
        <f aca="false">IFERROR(INDEX(W1_WYBOR!$V$6:$V$80,MATCH($L18,W1_WYBOR!$A$6:$A$80,0)),"")</f>
        <v>Zaimplementowane: repozytorium FHIR z trzema zapleczami (lokalne, Medplum przez SDK, dowolny FHIR R4); rezerwacja z If-Match</v>
      </c>
    </row>
    <row r="19" customFormat="false" ht="37.5" hidden="false" customHeight="true" outlineLevel="0" collapsed="false">
      <c r="A19" s="24" t="s">
        <v>1355</v>
      </c>
      <c r="B19" s="26" t="s">
        <v>1356</v>
      </c>
      <c r="C19" s="26" t="s">
        <v>1304</v>
      </c>
      <c r="D19" s="26" t="s">
        <v>1305</v>
      </c>
      <c r="E19" s="27" t="s">
        <v>1306</v>
      </c>
      <c r="F19" s="27" t="s">
        <v>1307</v>
      </c>
      <c r="G19" s="27" t="n">
        <v>4</v>
      </c>
      <c r="H19" s="26" t="s">
        <v>1333</v>
      </c>
      <c r="I19" s="27" t="s">
        <v>1309</v>
      </c>
      <c r="J19" s="26" t="s">
        <v>1334</v>
      </c>
      <c r="K19" s="26" t="s">
        <v>1335</v>
      </c>
      <c r="L19" s="24" t="s">
        <v>278</v>
      </c>
      <c r="M19" s="26" t="str">
        <f aca="false">IFERROR(INDEX(W1_WYBOR!$B$6:$B$80,MATCH($L19,W1_WYBOR!$A$6:$A$80,0)),"")</f>
        <v>Odczyt dokumentów i wyników (OCR + parser)</v>
      </c>
      <c r="N19" s="26" t="str">
        <f aca="false">IFERROR(INDEX(W1_WYBOR!$F$6:$F$80,MATCH($L19,W1_WYBOR!$A$6:$A$80,0)),"")</f>
        <v>HYBRYDA: kupiony silnik + własny parser polski</v>
      </c>
      <c r="O19" s="28" t="str">
        <f aca="false">IFERROR(INDEX(W1_WYBOR!$L$6:$L$80,MATCH($L19,W1_WYBOR!$A$6:$A$80,0)),"")</f>
        <v>Najpierw warstwa tekstowa PDF (0 zł), skany i zdjęcia → Mistral OCR 4; nasz parser 3–5 sieci laboratoriów; zatwierdzenie przez użytkownika</v>
      </c>
      <c r="P19" s="28" t="str">
        <f aca="false">IFERROR(INDEX(W1_WYBOR!$M$6:$M$80,MATCH($L19,W1_WYBOR!$A$6:$A$80,0)),"")</f>
        <v>Mistral OCR wsadowo + PaddleOCR/Docling u siebie dla prostych dokumentów</v>
      </c>
      <c r="Q19" s="27" t="str">
        <f aca="false">IFERROR(INDEX(W1_WYBOR!$P$6:$P$80,MATCH($L19,W1_WYBOR!$A$6:$A$80,0)),"")</f>
        <v>ZMIANA</v>
      </c>
      <c r="R19" s="26" t="s">
        <v>1357</v>
      </c>
      <c r="S19" s="26" t="str">
        <f aca="false">IFERROR(INDEX(W1_WYBOR!$V$6:$V$80,MATCH($L19,W1_WYBOR!$A$6:$A$80,0)),"")</f>
        <v>Częściowo: wgrywanie dokumentów; brak odczytu treści</v>
      </c>
    </row>
    <row r="20" customFormat="false" ht="48.75" hidden="false" customHeight="true" outlineLevel="0" collapsed="false">
      <c r="A20" s="24" t="s">
        <v>1358</v>
      </c>
      <c r="B20" s="26" t="s">
        <v>1359</v>
      </c>
      <c r="C20" s="26" t="s">
        <v>1304</v>
      </c>
      <c r="D20" s="26" t="s">
        <v>1305</v>
      </c>
      <c r="E20" s="27" t="s">
        <v>1306</v>
      </c>
      <c r="F20" s="27" t="s">
        <v>1307</v>
      </c>
      <c r="G20" s="27" t="n">
        <v>18</v>
      </c>
      <c r="H20" s="26" t="s">
        <v>1360</v>
      </c>
      <c r="I20" s="27" t="s">
        <v>1309</v>
      </c>
      <c r="J20" s="26" t="s">
        <v>611</v>
      </c>
      <c r="K20" s="26" t="s">
        <v>1361</v>
      </c>
      <c r="L20" s="24" t="s">
        <v>609</v>
      </c>
      <c r="M20" s="26" t="str">
        <f aca="false">IFERROR(INDEX(W1_WYBOR!$B$6:$B$80,MATCH($L20,W1_WYBOR!$A$6:$A$80,0)),"")</f>
        <v>Brama e-zdrowia (P1: e-recepta, e-skierowanie)</v>
      </c>
      <c r="N20" s="26" t="str">
        <f aca="false">IFERROR(INDEX(W1_WYBOR!$F$6:$F$80,MATCH($L20,W1_WYBOR!$A$6:$A$80,0)),"")</f>
        <v>POŚREDNICTWO przez system gabinetowy placówki</v>
      </c>
      <c r="O20" s="28" t="str">
        <f aca="false">IFERROR(INDEX(W1_WYBOR!$L$6:$L$80,MATCH($L20,W1_WYBOR!$A$6:$A$80,0)),"")</f>
        <v>E-recepty i e-skierowania wystawia lekarz w systemie gabinetowym placówki; Eternal pokazuje status i dokumenty; adaptery do API systemów, które je mają</v>
      </c>
      <c r="P20" s="28" t="str">
        <f aca="false">IFERROR(INDEX(W1_WYBOR!$M$6:$M$80,MATCH($L20,W1_WYBOR!$A$6:$A$80,0)),"")</f>
        <v>Konektor P1 (np. Pentacomp) dla placówek, gdy Eternal Doctor staje się systemem placówki</v>
      </c>
      <c r="Q20" s="27" t="str">
        <f aca="false">IFERROR(INDEX(W1_WYBOR!$P$6:$P$80,MATCH($L20,W1_WYBOR!$A$6:$A$80,0)),"")</f>
        <v>DOPRECYZOWANIE</v>
      </c>
      <c r="R20" s="26" t="s">
        <v>1362</v>
      </c>
      <c r="S20" s="26" t="str">
        <f aca="false">IFERROR(INDEX(W1_WYBOR!$V$6:$V$80,MATCH($L20,W1_WYBOR!$A$6:$A$80,0)),"")</f>
        <v>Brak (świadomie — opisane w INTEGRATIONS.md)</v>
      </c>
    </row>
    <row r="21" customFormat="false" ht="37.5" hidden="false" customHeight="true" outlineLevel="0" collapsed="false">
      <c r="A21" s="24" t="s">
        <v>1363</v>
      </c>
      <c r="B21" s="26" t="s">
        <v>1364</v>
      </c>
      <c r="C21" s="26" t="s">
        <v>1304</v>
      </c>
      <c r="D21" s="26" t="s">
        <v>1305</v>
      </c>
      <c r="E21" s="27" t="s">
        <v>1306</v>
      </c>
      <c r="F21" s="27" t="s">
        <v>1307</v>
      </c>
      <c r="G21" s="27" t="n">
        <v>4</v>
      </c>
      <c r="H21" s="26" t="s">
        <v>1333</v>
      </c>
      <c r="I21" s="27" t="s">
        <v>1309</v>
      </c>
      <c r="J21" s="26" t="s">
        <v>1365</v>
      </c>
      <c r="K21" s="26" t="s">
        <v>1366</v>
      </c>
      <c r="L21" s="24" t="s">
        <v>1106</v>
      </c>
      <c r="M21" s="26" t="str">
        <f aca="false">IFERROR(INDEX(W1_WYBOR!$B$6:$B$80,MATCH($L21,W1_WYBOR!$A$6:$A$80,0)),"")</f>
        <v>Funkcja systemu telefonu, przeglądarki lub urządzenia (nie kupujemy)</v>
      </c>
      <c r="N21" s="26" t="str">
        <f aca="false">IFERROR(INDEX(W1_WYBOR!$F$6:$F$80,MATCH($L21,W1_WYBOR!$A$6:$A$80,0)),"")</f>
        <v>SYSTEM</v>
      </c>
      <c r="O21" s="28" t="str">
        <f aca="false">IFERROR(INDEX(W1_WYBOR!$L$6:$L$80,MATCH($L21,W1_WYBOR!$A$6:$A$80,0)),"")</f>
        <v>Funkcja systemu + nasza obsługa w aplikacji</v>
      </c>
      <c r="P21" s="28" t="str">
        <f aca="false">IFERROR(INDEX(W1_WYBOR!$M$6:$M$80,MATCH($L21,W1_WYBOR!$A$6:$A$80,0)),"")</f>
        <v>Jak MVP</v>
      </c>
      <c r="Q21" s="27" t="str">
        <f aca="false">IFERROR(INDEX(W1_WYBOR!$P$6:$P$80,MATCH($L21,W1_WYBOR!$A$6:$A$80,0)),"")</f>
        <v>BEZ ZMIAN</v>
      </c>
      <c r="R21" s="26"/>
      <c r="S21" s="26" t="str">
        <f aca="false">IFERROR(INDEX(W1_WYBOR!$V$6:$V$80,MATCH($L21,W1_WYBOR!$A$6:$A$80,0)),"")</f>
        <v>Częściowo (PWA); pełny dostęp w aplikacji mobilnej</v>
      </c>
    </row>
    <row r="22" customFormat="false" ht="25.5" hidden="false" customHeight="true" outlineLevel="0" collapsed="false">
      <c r="A22" s="24" t="s">
        <v>1367</v>
      </c>
      <c r="B22" s="26" t="s">
        <v>1368</v>
      </c>
      <c r="C22" s="26" t="s">
        <v>1304</v>
      </c>
      <c r="D22" s="26" t="s">
        <v>1305</v>
      </c>
      <c r="E22" s="27" t="s">
        <v>1306</v>
      </c>
      <c r="F22" s="27" t="s">
        <v>1307</v>
      </c>
      <c r="G22" s="27" t="n">
        <v>4</v>
      </c>
      <c r="H22" s="26" t="s">
        <v>1333</v>
      </c>
      <c r="I22" s="27" t="s">
        <v>1309</v>
      </c>
      <c r="J22" s="26" t="s">
        <v>1121</v>
      </c>
      <c r="K22" s="26" t="s">
        <v>151</v>
      </c>
      <c r="L22" s="24" t="s">
        <v>1119</v>
      </c>
      <c r="M22" s="26" t="str">
        <f aca="false">IFERROR(INDEX(W1_WYBOR!$B$6:$B$80,MATCH($L22,W1_WYBOR!$A$6:$A$80,0)),"")</f>
        <v>Funkcja własna na wspólnych komponentach (W2)</v>
      </c>
      <c r="N22" s="26" t="str">
        <f aca="false">IFERROR(INDEX(W1_WYBOR!$F$6:$F$80,MATCH($L22,W1_WYBOR!$A$6:$A$80,0)),"")</f>
        <v>WŁASNE na komponentach z W2</v>
      </c>
      <c r="O22" s="28" t="str">
        <f aca="false">IFERROR(INDEX(W1_WYBOR!$L$6:$L$80,MATCH($L22,W1_WYBOR!$A$6:$A$80,0)),"")</f>
        <v>Budujemy w aplikacji Eternal na komponentach W2</v>
      </c>
      <c r="P22" s="28" t="str">
        <f aca="false">IFERROR(INDEX(W1_WYBOR!$M$6:$M$80,MATCH($L22,W1_WYBOR!$A$6:$A$80,0)),"")</f>
        <v>Jak MVP</v>
      </c>
      <c r="Q22" s="27" t="str">
        <f aca="false">IFERROR(INDEX(W1_WYBOR!$P$6:$P$80,MATCH($L22,W1_WYBOR!$A$6:$A$80,0)),"")</f>
        <v>BEZ ZMIAN</v>
      </c>
      <c r="R22" s="26"/>
      <c r="S22" s="26" t="str">
        <f aca="false">IFERROR(INDEX(W1_WYBOR!$V$6:$V$80,MATCH($L22,W1_WYBOR!$A$6:$A$80,0)),"")</f>
        <v>Zob. kolumna uwag w W3</v>
      </c>
    </row>
    <row r="23" customFormat="false" ht="37.5" hidden="false" customHeight="true" outlineLevel="0" collapsed="false">
      <c r="A23" s="24" t="s">
        <v>1369</v>
      </c>
      <c r="B23" s="26" t="s">
        <v>1370</v>
      </c>
      <c r="C23" s="26" t="s">
        <v>1304</v>
      </c>
      <c r="D23" s="26" t="s">
        <v>1305</v>
      </c>
      <c r="E23" s="27" t="s">
        <v>1306</v>
      </c>
      <c r="F23" s="27" t="s">
        <v>1307</v>
      </c>
      <c r="G23" s="27" t="n">
        <v>4</v>
      </c>
      <c r="H23" s="26" t="s">
        <v>1333</v>
      </c>
      <c r="I23" s="27" t="s">
        <v>1371</v>
      </c>
      <c r="J23" s="26" t="s">
        <v>1334</v>
      </c>
      <c r="K23" s="26" t="s">
        <v>1335</v>
      </c>
      <c r="L23" s="24" t="s">
        <v>278</v>
      </c>
      <c r="M23" s="26" t="str">
        <f aca="false">IFERROR(INDEX(W1_WYBOR!$B$6:$B$80,MATCH($L23,W1_WYBOR!$A$6:$A$80,0)),"")</f>
        <v>Odczyt dokumentów i wyników (OCR + parser)</v>
      </c>
      <c r="N23" s="26" t="str">
        <f aca="false">IFERROR(INDEX(W1_WYBOR!$F$6:$F$80,MATCH($L23,W1_WYBOR!$A$6:$A$80,0)),"")</f>
        <v>HYBRYDA: kupiony silnik + własny parser polski</v>
      </c>
      <c r="O23" s="28" t="str">
        <f aca="false">IFERROR(INDEX(W1_WYBOR!$L$6:$L$80,MATCH($L23,W1_WYBOR!$A$6:$A$80,0)),"")</f>
        <v>Najpierw warstwa tekstowa PDF (0 zł), skany i zdjęcia → Mistral OCR 4; nasz parser 3–5 sieci laboratoriów; zatwierdzenie przez użytkownika</v>
      </c>
      <c r="P23" s="28" t="str">
        <f aca="false">IFERROR(INDEX(W1_WYBOR!$M$6:$M$80,MATCH($L23,W1_WYBOR!$A$6:$A$80,0)),"")</f>
        <v>Mistral OCR wsadowo + PaddleOCR/Docling u siebie dla prostych dokumentów</v>
      </c>
      <c r="Q23" s="27" t="str">
        <f aca="false">IFERROR(INDEX(W1_WYBOR!$P$6:$P$80,MATCH($L23,W1_WYBOR!$A$6:$A$80,0)),"")</f>
        <v>ZMIANA</v>
      </c>
      <c r="R23" s="26" t="s">
        <v>1372</v>
      </c>
      <c r="S23" s="26" t="str">
        <f aca="false">IFERROR(INDEX(W1_WYBOR!$V$6:$V$80,MATCH($L23,W1_WYBOR!$A$6:$A$80,0)),"")</f>
        <v>Częściowo: wgrywanie dokumentów; brak odczytu treści</v>
      </c>
    </row>
    <row r="24" customFormat="false" ht="37.5" hidden="false" customHeight="true" outlineLevel="0" collapsed="false">
      <c r="A24" s="24" t="s">
        <v>1373</v>
      </c>
      <c r="B24" s="26" t="s">
        <v>1374</v>
      </c>
      <c r="C24" s="26" t="s">
        <v>1304</v>
      </c>
      <c r="D24" s="26" t="s">
        <v>1305</v>
      </c>
      <c r="E24" s="27" t="s">
        <v>1306</v>
      </c>
      <c r="F24" s="27" t="s">
        <v>1307</v>
      </c>
      <c r="G24" s="27" t="n">
        <v>4</v>
      </c>
      <c r="H24" s="26" t="s">
        <v>1333</v>
      </c>
      <c r="I24" s="27" t="s">
        <v>1309</v>
      </c>
      <c r="J24" s="26" t="s">
        <v>1375</v>
      </c>
      <c r="K24" s="26" t="s">
        <v>1376</v>
      </c>
      <c r="L24" s="24" t="s">
        <v>278</v>
      </c>
      <c r="M24" s="26" t="str">
        <f aca="false">IFERROR(INDEX(W1_WYBOR!$B$6:$B$80,MATCH($L24,W1_WYBOR!$A$6:$A$80,0)),"")</f>
        <v>Odczyt dokumentów i wyników (OCR + parser)</v>
      </c>
      <c r="N24" s="26" t="str">
        <f aca="false">IFERROR(INDEX(W1_WYBOR!$F$6:$F$80,MATCH($L24,W1_WYBOR!$A$6:$A$80,0)),"")</f>
        <v>HYBRYDA: kupiony silnik + własny parser polski</v>
      </c>
      <c r="O24" s="28" t="str">
        <f aca="false">IFERROR(INDEX(W1_WYBOR!$L$6:$L$80,MATCH($L24,W1_WYBOR!$A$6:$A$80,0)),"")</f>
        <v>Najpierw warstwa tekstowa PDF (0 zł), skany i zdjęcia → Mistral OCR 4; nasz parser 3–5 sieci laboratoriów; zatwierdzenie przez użytkownika</v>
      </c>
      <c r="P24" s="28" t="str">
        <f aca="false">IFERROR(INDEX(W1_WYBOR!$M$6:$M$80,MATCH($L24,W1_WYBOR!$A$6:$A$80,0)),"")</f>
        <v>Mistral OCR wsadowo + PaddleOCR/Docling u siebie dla prostych dokumentów</v>
      </c>
      <c r="Q24" s="27" t="str">
        <f aca="false">IFERROR(INDEX(W1_WYBOR!$P$6:$P$80,MATCH($L24,W1_WYBOR!$A$6:$A$80,0)),"")</f>
        <v>ZMIANA</v>
      </c>
      <c r="R24" s="26" t="s">
        <v>1377</v>
      </c>
      <c r="S24" s="26" t="str">
        <f aca="false">IFERROR(INDEX(W1_WYBOR!$V$6:$V$80,MATCH($L24,W1_WYBOR!$A$6:$A$80,0)),"")</f>
        <v>Częściowo: wgrywanie dokumentów; brak odczytu treści</v>
      </c>
    </row>
    <row r="25" customFormat="false" ht="37.5" hidden="false" customHeight="true" outlineLevel="0" collapsed="false">
      <c r="A25" s="24" t="s">
        <v>1378</v>
      </c>
      <c r="B25" s="26" t="s">
        <v>1379</v>
      </c>
      <c r="C25" s="26" t="s">
        <v>1304</v>
      </c>
      <c r="D25" s="26" t="s">
        <v>1305</v>
      </c>
      <c r="E25" s="27" t="s">
        <v>1306</v>
      </c>
      <c r="F25" s="27" t="s">
        <v>1307</v>
      </c>
      <c r="G25" s="27" t="n">
        <v>4</v>
      </c>
      <c r="H25" s="26" t="s">
        <v>1333</v>
      </c>
      <c r="I25" s="27" t="s">
        <v>1309</v>
      </c>
      <c r="J25" s="26" t="s">
        <v>262</v>
      </c>
      <c r="K25" s="26" t="s">
        <v>1380</v>
      </c>
      <c r="L25" s="24" t="s">
        <v>260</v>
      </c>
      <c r="M25" s="26" t="str">
        <f aca="false">IFERROR(INDEX(W1_WYBOR!$B$6:$B$80,MATCH($L25,W1_WYBOR!$A$6:$A$80,0)),"")</f>
        <v>Słowniki medyczne i terminologia</v>
      </c>
      <c r="N25" s="26" t="str">
        <f aca="false">IFERROR(INDEX(W1_WYBOR!$F$6:$F$80,MATCH($L25,W1_WYBOR!$A$6:$A$80,0)),"")</f>
        <v>DANE PUBLICZNE + nasza warstwa</v>
      </c>
      <c r="O25" s="28" t="str">
        <f aca="false">IFERROR(INDEX(W1_WYBOR!$L$6:$L$80,MATCH($L25,W1_WYBOR!$A$6:$A$80,0)),"")</f>
        <v>Tabela mapowań 150–300 badań (LOINC + UCUM + ICD-10 PL) + wyszukiwanie NLM/WHO</v>
      </c>
      <c r="P25" s="28" t="str">
        <f aca="false">IFERROR(INDEX(W1_WYBOR!$M$6:$M$80,MATCH($L25,W1_WYBOR!$A$6:$A$80,0)),"")</f>
        <v>Serwer terminologii (moduł Medplum albo Snowstorm) + ICD-11</v>
      </c>
      <c r="Q25" s="27" t="str">
        <f aca="false">IFERROR(INDEX(W1_WYBOR!$P$6:$P$80,MATCH($L25,W1_WYBOR!$A$6:$A$80,0)),"")</f>
        <v>BEZ ZMIAN</v>
      </c>
      <c r="R25" s="26"/>
      <c r="S25" s="26" t="str">
        <f aca="false">IFERROR(INDEX(W1_WYBOR!$V$6:$V$80,MATCH($L25,W1_WYBOR!$A$6:$A$80,0)),"")</f>
        <v>Zaimplementowane: NLM Clinical Tables, WHO ICD-11, kody LOINC w pomiarach</v>
      </c>
    </row>
    <row r="26" customFormat="false" ht="37.5" hidden="false" customHeight="true" outlineLevel="0" collapsed="false">
      <c r="A26" s="24" t="s">
        <v>1381</v>
      </c>
      <c r="B26" s="26" t="s">
        <v>1382</v>
      </c>
      <c r="C26" s="26" t="s">
        <v>1304</v>
      </c>
      <c r="D26" s="26" t="s">
        <v>1305</v>
      </c>
      <c r="E26" s="27" t="s">
        <v>1306</v>
      </c>
      <c r="F26" s="27" t="s">
        <v>1307</v>
      </c>
      <c r="G26" s="27" t="n">
        <v>8</v>
      </c>
      <c r="H26" s="26" t="s">
        <v>1329</v>
      </c>
      <c r="I26" s="27" t="s">
        <v>1309</v>
      </c>
      <c r="J26" s="26" t="s">
        <v>1121</v>
      </c>
      <c r="K26" s="26" t="s">
        <v>151</v>
      </c>
      <c r="L26" s="24" t="s">
        <v>1119</v>
      </c>
      <c r="M26" s="26" t="str">
        <f aca="false">IFERROR(INDEX(W1_WYBOR!$B$6:$B$80,MATCH($L26,W1_WYBOR!$A$6:$A$80,0)),"")</f>
        <v>Funkcja własna na wspólnych komponentach (W2)</v>
      </c>
      <c r="N26" s="26" t="str">
        <f aca="false">IFERROR(INDEX(W1_WYBOR!$F$6:$F$80,MATCH($L26,W1_WYBOR!$A$6:$A$80,0)),"")</f>
        <v>WŁASNE na komponentach z W2</v>
      </c>
      <c r="O26" s="28" t="str">
        <f aca="false">IFERROR(INDEX(W1_WYBOR!$L$6:$L$80,MATCH($L26,W1_WYBOR!$A$6:$A$80,0)),"")</f>
        <v>Budujemy w aplikacji Eternal na komponentach W2</v>
      </c>
      <c r="P26" s="28" t="str">
        <f aca="false">IFERROR(INDEX(W1_WYBOR!$M$6:$M$80,MATCH($L26,W1_WYBOR!$A$6:$A$80,0)),"")</f>
        <v>Jak MVP</v>
      </c>
      <c r="Q26" s="27" t="str">
        <f aca="false">IFERROR(INDEX(W1_WYBOR!$P$6:$P$80,MATCH($L26,W1_WYBOR!$A$6:$A$80,0)),"")</f>
        <v>BEZ ZMIAN</v>
      </c>
      <c r="R26" s="26" t="s">
        <v>1383</v>
      </c>
      <c r="S26" s="26" t="str">
        <f aca="false">IFERROR(INDEX(W1_WYBOR!$V$6:$V$80,MATCH($L26,W1_WYBOR!$A$6:$A$80,0)),"")</f>
        <v>Zob. kolumna uwag w W3</v>
      </c>
    </row>
    <row r="27" customFormat="false" ht="48.75" hidden="false" customHeight="true" outlineLevel="0" collapsed="false">
      <c r="A27" s="24" t="s">
        <v>1384</v>
      </c>
      <c r="B27" s="26" t="s">
        <v>1385</v>
      </c>
      <c r="C27" s="26" t="s">
        <v>1304</v>
      </c>
      <c r="D27" s="26" t="s">
        <v>1305</v>
      </c>
      <c r="E27" s="27" t="s">
        <v>1306</v>
      </c>
      <c r="F27" s="27" t="s">
        <v>1386</v>
      </c>
      <c r="G27" s="27" t="n">
        <v>18</v>
      </c>
      <c r="H27" s="26" t="s">
        <v>1360</v>
      </c>
      <c r="I27" s="27" t="s">
        <v>1387</v>
      </c>
      <c r="J27" s="26" t="s">
        <v>611</v>
      </c>
      <c r="K27" s="26" t="s">
        <v>1361</v>
      </c>
      <c r="L27" s="24" t="s">
        <v>609</v>
      </c>
      <c r="M27" s="26" t="str">
        <f aca="false">IFERROR(INDEX(W1_WYBOR!$B$6:$B$80,MATCH($L27,W1_WYBOR!$A$6:$A$80,0)),"")</f>
        <v>Brama e-zdrowia (P1: e-recepta, e-skierowanie)</v>
      </c>
      <c r="N27" s="26" t="str">
        <f aca="false">IFERROR(INDEX(W1_WYBOR!$F$6:$F$80,MATCH($L27,W1_WYBOR!$A$6:$A$80,0)),"")</f>
        <v>POŚREDNICTWO przez system gabinetowy placówki</v>
      </c>
      <c r="O27" s="28" t="str">
        <f aca="false">IFERROR(INDEX(W1_WYBOR!$L$6:$L$80,MATCH($L27,W1_WYBOR!$A$6:$A$80,0)),"")</f>
        <v>E-recepty i e-skierowania wystawia lekarz w systemie gabinetowym placówki; Eternal pokazuje status i dokumenty; adaptery do API systemów, które je mają</v>
      </c>
      <c r="P27" s="28" t="str">
        <f aca="false">IFERROR(INDEX(W1_WYBOR!$M$6:$M$80,MATCH($L27,W1_WYBOR!$A$6:$A$80,0)),"")</f>
        <v>Konektor P1 (np. Pentacomp) dla placówek, gdy Eternal Doctor staje się systemem placówki</v>
      </c>
      <c r="Q27" s="27" t="str">
        <f aca="false">IFERROR(INDEX(W1_WYBOR!$P$6:$P$80,MATCH($L27,W1_WYBOR!$A$6:$A$80,0)),"")</f>
        <v>DOPRECYZOWANIE</v>
      </c>
      <c r="R27" s="26" t="s">
        <v>1388</v>
      </c>
      <c r="S27" s="26" t="str">
        <f aca="false">IFERROR(INDEX(W1_WYBOR!$V$6:$V$80,MATCH($L27,W1_WYBOR!$A$6:$A$80,0)),"")</f>
        <v>Brak (świadomie — opisane w INTEGRATIONS.md)</v>
      </c>
    </row>
    <row r="28" customFormat="false" ht="37.5" hidden="false" customHeight="true" outlineLevel="0" collapsed="false">
      <c r="A28" s="24" t="s">
        <v>1389</v>
      </c>
      <c r="B28" s="26" t="s">
        <v>1390</v>
      </c>
      <c r="C28" s="26" t="s">
        <v>1304</v>
      </c>
      <c r="D28" s="26" t="s">
        <v>1305</v>
      </c>
      <c r="E28" s="27" t="s">
        <v>1306</v>
      </c>
      <c r="F28" s="27" t="s">
        <v>1307</v>
      </c>
      <c r="G28" s="27" t="n">
        <v>4</v>
      </c>
      <c r="H28" s="26" t="s">
        <v>1333</v>
      </c>
      <c r="I28" s="27" t="s">
        <v>1309</v>
      </c>
      <c r="J28" s="26" t="s">
        <v>1339</v>
      </c>
      <c r="K28" s="26" t="s">
        <v>1340</v>
      </c>
      <c r="L28" s="24" t="s">
        <v>298</v>
      </c>
      <c r="M28" s="26" t="str">
        <f aca="false">IFERROR(INDEX(W1_WYBOR!$B$6:$B$80,MATCH($L28,W1_WYBOR!$A$6:$A$80,0)),"")</f>
        <v>Modele językowe (brama modeli)</v>
      </c>
      <c r="N28" s="26" t="str">
        <f aca="false">IFERROR(INDEX(W1_WYBOR!$F$6:$F$80,MATCH($L28,W1_WYBOR!$A$6:$A$80,0)),"")</f>
        <v>KUPUJEMY USŁUGĘ za własną bramą</v>
      </c>
      <c r="O28" s="28" t="str">
        <f aca="false">IFERROR(INDEX(W1_WYBOR!$L$6:$L$80,MATCH($L28,W1_WYBOR!$A$6:$A$80,0)),"")</f>
        <v>Claude przez Amazon Bedrock (profil eu.*) za naszą bramą LiteLLM + Mistral jako drugi dostawca z UE (przełączanie)</v>
      </c>
      <c r="P28" s="28" t="str">
        <f aca="false">IFERROR(INDEX(W1_WYBOR!$M$6:$M$80,MATCH($L28,W1_WYBOR!$A$6:$A$80,0)),"")</f>
        <v>+ Bielik v3 na własnym GPU w UE do zadań prostych (porządkowanie pól, klasyfikacja)</v>
      </c>
      <c r="Q28" s="27" t="str">
        <f aca="false">IFERROR(INDEX(W1_WYBOR!$P$6:$P$80,MATCH($L28,W1_WYBOR!$A$6:$A$80,0)),"")</f>
        <v>DOPRECYZOWANIE</v>
      </c>
      <c r="R28" s="26" t="s">
        <v>1391</v>
      </c>
      <c r="S28" s="26" t="str">
        <f aca="false">IFERROR(INDEX(W1_WYBOR!$V$6:$V$80,MATCH($L28,W1_WYBOR!$A$6:$A$80,0)),"")</f>
        <v>Brak — świadomie (granica MDR w obecnej wersji)</v>
      </c>
    </row>
    <row r="29" customFormat="false" ht="37.5" hidden="false" customHeight="true" outlineLevel="0" collapsed="false">
      <c r="A29" s="24" t="s">
        <v>1392</v>
      </c>
      <c r="B29" s="26" t="s">
        <v>1393</v>
      </c>
      <c r="C29" s="26" t="s">
        <v>1304</v>
      </c>
      <c r="D29" s="26" t="s">
        <v>1305</v>
      </c>
      <c r="E29" s="27" t="s">
        <v>1306</v>
      </c>
      <c r="F29" s="27" t="s">
        <v>1394</v>
      </c>
      <c r="G29" s="27" t="n">
        <v>19</v>
      </c>
      <c r="H29" s="26" t="s">
        <v>1395</v>
      </c>
      <c r="I29" s="27" t="s">
        <v>1309</v>
      </c>
      <c r="J29" s="26" t="s">
        <v>545</v>
      </c>
      <c r="K29" s="26" t="s">
        <v>1396</v>
      </c>
      <c r="L29" s="24" t="s">
        <v>543</v>
      </c>
      <c r="M29" s="26" t="str">
        <f aca="false">IFERROR(INDEX(W1_WYBOR!$B$6:$B$80,MATCH($L29,W1_WYBOR!$A$6:$A$80,0)),"")</f>
        <v>Scribe — notatka z wizyty</v>
      </c>
      <c r="N29" s="26" t="str">
        <f aca="false">IFERROR(INDEX(W1_WYBOR!$F$6:$F$80,MATCH($L29,W1_WYBOR!$A$6:$A$80,0)),"")</f>
        <v>WŁASNY PRZEBIEG na kupionych silnikach</v>
      </c>
      <c r="O29" s="28" t="str">
        <f aca="false">IFERROR(INDEX(W1_WYBOR!$L$6:$L$80,MATCH($L29,W1_WYBOR!$A$6:$A$80,0)),"")</f>
        <v>Przebieg własny: ElevenLabs Scribe (UE) + Claude (Bedrock UE) + polskie szablony; obowiązkowe zatwierdzenie lekarza</v>
      </c>
      <c r="P29" s="28" t="str">
        <f aca="false">IFERROR(INDEX(W1_WYBOR!$M$6:$M$80,MATCH($L29,W1_WYBOR!$A$6:$A$80,0)),"")</f>
        <v>Ponowny przegląd gotowych scribe — wybór, jeśli dodadzą polski z dokumentacją zgodności</v>
      </c>
      <c r="Q29" s="27" t="str">
        <f aca="false">IFERROR(INDEX(W1_WYBOR!$P$6:$P$80,MATCH($L29,W1_WYBOR!$A$6:$A$80,0)),"")</f>
        <v>ZMIANA</v>
      </c>
      <c r="R29" s="26" t="s">
        <v>1397</v>
      </c>
      <c r="S29" s="26" t="str">
        <f aca="false">IFERROR(INDEX(W1_WYBOR!$V$6:$V$80,MATCH($L29,W1_WYBOR!$A$6:$A$80,0)),"")</f>
        <v>Brak</v>
      </c>
    </row>
    <row r="30" customFormat="false" ht="60" hidden="false" customHeight="true" outlineLevel="0" collapsed="false">
      <c r="A30" s="24" t="s">
        <v>1398</v>
      </c>
      <c r="B30" s="26" t="s">
        <v>1399</v>
      </c>
      <c r="C30" s="26" t="s">
        <v>1304</v>
      </c>
      <c r="D30" s="26" t="s">
        <v>1305</v>
      </c>
      <c r="E30" s="27" t="s">
        <v>1306</v>
      </c>
      <c r="F30" s="27" t="s">
        <v>1307</v>
      </c>
      <c r="G30" s="27" t="n">
        <v>1</v>
      </c>
      <c r="H30" s="26" t="s">
        <v>1400</v>
      </c>
      <c r="I30" s="27" t="s">
        <v>1309</v>
      </c>
      <c r="J30" s="26" t="s">
        <v>110</v>
      </c>
      <c r="K30" s="26" t="s">
        <v>1401</v>
      </c>
      <c r="L30" s="24" t="s">
        <v>108</v>
      </c>
      <c r="M30" s="26" t="str">
        <f aca="false">IFERROR(INDEX(W1_WYBOR!$B$6:$B$80,MATCH($L30,W1_WYBOR!$A$6:$A$80,0)),"")</f>
        <v>Tożsamość, logowanie i sesje</v>
      </c>
      <c r="N30" s="26" t="str">
        <f aca="false">IFERROR(INDEX(W1_WYBOR!$F$6:$F$80,MATCH($L30,W1_WYBOR!$A$6:$A$80,0)),"")</f>
        <v>BIERZEMY OPEN SOURCE + nasza warstwa</v>
      </c>
      <c r="O30" s="28" t="str">
        <f aca="false">IFERROR(INDEX(W1_WYBOR!$L$6:$L$80,MATCH($L30,W1_WYBOR!$A$6:$A$80,0)),"")</f>
        <v>Keycloak w naszej chmurze UE jako dostawca OIDC: klucze dostępu (WebAuthn/FIDO2), logowanie Apple/Google, TOTP, link e-mail, sesje i urządzenia; PIN i biometria lokalnie w aplikacji mobilnej</v>
      </c>
      <c r="P30" s="28" t="str">
        <f aca="false">IFERROR(INDEX(W1_WYBOR!$M$6:$M$80,MATCH($L30,W1_WYBOR!$A$6:$A$80,0)),"")</f>
        <v>Keycloak w klastrze (wysoka dostępność); organizacje = placówki; SMS jako drugi składnik tylko awaryjnie</v>
      </c>
      <c r="Q30" s="27" t="str">
        <f aca="false">IFERROR(INDEX(W1_WYBOR!$P$6:$P$80,MATCH($L30,W1_WYBOR!$A$6:$A$80,0)),"")</f>
        <v>ZMIANA</v>
      </c>
      <c r="R30" s="26" t="s">
        <v>1402</v>
      </c>
      <c r="S30" s="26" t="str">
        <f aca="false">IFERROR(INDEX(W1_WYBOR!$V$6:$V$80,MATCH($L30,W1_WYBOR!$A$6:$A$80,0)),"")</f>
        <v>Zaimplementowane własne logowanie (scrypt, TOTP z ochroną przed powtórzeniem, sesje, CSRF, HIBP); do podłączenia jako klient OIDC</v>
      </c>
    </row>
    <row r="31" customFormat="false" ht="37.5" hidden="false" customHeight="true" outlineLevel="0" collapsed="false">
      <c r="A31" s="24" t="s">
        <v>1403</v>
      </c>
      <c r="B31" s="26" t="s">
        <v>1404</v>
      </c>
      <c r="C31" s="26" t="s">
        <v>1304</v>
      </c>
      <c r="D31" s="26" t="s">
        <v>1305</v>
      </c>
      <c r="E31" s="27" t="s">
        <v>1306</v>
      </c>
      <c r="F31" s="27" t="s">
        <v>1307</v>
      </c>
      <c r="G31" s="27" t="n">
        <v>1</v>
      </c>
      <c r="H31" s="26" t="s">
        <v>1400</v>
      </c>
      <c r="I31" s="27" t="s">
        <v>1309</v>
      </c>
      <c r="J31" s="26" t="s">
        <v>1405</v>
      </c>
      <c r="K31" s="26" t="s">
        <v>1406</v>
      </c>
      <c r="L31" s="24" t="s">
        <v>1106</v>
      </c>
      <c r="M31" s="26" t="str">
        <f aca="false">IFERROR(INDEX(W1_WYBOR!$B$6:$B$80,MATCH($L31,W1_WYBOR!$A$6:$A$80,0)),"")</f>
        <v>Funkcja systemu telefonu, przeglądarki lub urządzenia (nie kupujemy)</v>
      </c>
      <c r="N31" s="26" t="str">
        <f aca="false">IFERROR(INDEX(W1_WYBOR!$F$6:$F$80,MATCH($L31,W1_WYBOR!$A$6:$A$80,0)),"")</f>
        <v>SYSTEM</v>
      </c>
      <c r="O31" s="28" t="str">
        <f aca="false">IFERROR(INDEX(W1_WYBOR!$L$6:$L$80,MATCH($L31,W1_WYBOR!$A$6:$A$80,0)),"")</f>
        <v>Funkcja systemu + nasza obsługa w aplikacji</v>
      </c>
      <c r="P31" s="28" t="str">
        <f aca="false">IFERROR(INDEX(W1_WYBOR!$M$6:$M$80,MATCH($L31,W1_WYBOR!$A$6:$A$80,0)),"")</f>
        <v>Jak MVP</v>
      </c>
      <c r="Q31" s="27" t="str">
        <f aca="false">IFERROR(INDEX(W1_WYBOR!$P$6:$P$80,MATCH($L31,W1_WYBOR!$A$6:$A$80,0)),"")</f>
        <v>BEZ ZMIAN</v>
      </c>
      <c r="R31" s="26"/>
      <c r="S31" s="26" t="str">
        <f aca="false">IFERROR(INDEX(W1_WYBOR!$V$6:$V$80,MATCH($L31,W1_WYBOR!$A$6:$A$80,0)),"")</f>
        <v>Częściowo (PWA); pełny dostęp w aplikacji mobilnej</v>
      </c>
    </row>
    <row r="32" customFormat="false" ht="37.5" hidden="false" customHeight="true" outlineLevel="0" collapsed="false">
      <c r="A32" s="24" t="s">
        <v>1407</v>
      </c>
      <c r="B32" s="26" t="s">
        <v>1408</v>
      </c>
      <c r="C32" s="26" t="s">
        <v>1304</v>
      </c>
      <c r="D32" s="26" t="s">
        <v>1305</v>
      </c>
      <c r="E32" s="27" t="s">
        <v>1306</v>
      </c>
      <c r="F32" s="27" t="s">
        <v>1307</v>
      </c>
      <c r="G32" s="27" t="n">
        <v>2</v>
      </c>
      <c r="H32" s="26" t="s">
        <v>1409</v>
      </c>
      <c r="I32" s="27" t="s">
        <v>1309</v>
      </c>
      <c r="J32" s="26" t="s">
        <v>206</v>
      </c>
      <c r="K32" s="26" t="s">
        <v>1410</v>
      </c>
      <c r="L32" s="24" t="s">
        <v>204</v>
      </c>
      <c r="M32" s="26" t="str">
        <f aca="false">IFERROR(INDEX(W1_WYBOR!$B$6:$B$80,MATCH($L32,W1_WYBOR!$A$6:$A$80,0)),"")</f>
        <v>Zgody i żądania RODO</v>
      </c>
      <c r="N32" s="26" t="str">
        <f aca="false">IFERROR(INDEX(W1_WYBOR!$F$6:$F$80,MATCH($L32,W1_WYBOR!$A$6:$A$80,0)),"")</f>
        <v>WŁASNE na komponentach open source</v>
      </c>
      <c r="O32" s="28" t="str">
        <f aca="false">IFERROR(INDEX(W1_WYBOR!$L$6:$L$80,MATCH($L32,W1_WYBOR!$A$6:$A$80,0)),"")</f>
        <v>Własny rejestr zgód (FHIR Consent z wersjami) + obsługa żądań RODO w panelu (eksport, usunięcie z potwierdzeniem)</v>
      </c>
      <c r="P32" s="28" t="str">
        <f aca="false">IFERROR(INDEX(W1_WYBOR!$M$6:$M$80,MATCH($L32,W1_WYBOR!$A$6:$A$80,0)),"")</f>
        <v>+ Usercentrics albo Didomi wyłącznie dla strony www (cookies), jeśli będzie marketing w sieci</v>
      </c>
      <c r="Q32" s="27" t="str">
        <f aca="false">IFERROR(INDEX(W1_WYBOR!$P$6:$P$80,MATCH($L32,W1_WYBOR!$A$6:$A$80,0)),"")</f>
        <v>BEZ ZMIAN</v>
      </c>
      <c r="R32" s="26" t="s">
        <v>1411</v>
      </c>
      <c r="S32" s="26" t="str">
        <f aca="false">IFERROR(INDEX(W1_WYBOR!$V$6:$V$80,MATCH($L32,W1_WYBOR!$A$6:$A$80,0)),"")</f>
        <v>Zaimplementowane: zgody wersjonowane, eksport danych, usunięcie konta</v>
      </c>
    </row>
    <row r="33" customFormat="false" ht="60" hidden="false" customHeight="true" outlineLevel="0" collapsed="false">
      <c r="A33" s="24" t="s">
        <v>1412</v>
      </c>
      <c r="B33" s="26" t="s">
        <v>1413</v>
      </c>
      <c r="C33" s="26" t="s">
        <v>1304</v>
      </c>
      <c r="D33" s="26" t="s">
        <v>1305</v>
      </c>
      <c r="E33" s="27" t="s">
        <v>1306</v>
      </c>
      <c r="F33" s="27" t="s">
        <v>1307</v>
      </c>
      <c r="G33" s="27" t="n">
        <v>1</v>
      </c>
      <c r="H33" s="26" t="s">
        <v>1400</v>
      </c>
      <c r="I33" s="27" t="s">
        <v>1309</v>
      </c>
      <c r="J33" s="26" t="s">
        <v>110</v>
      </c>
      <c r="K33" s="26" t="s">
        <v>1401</v>
      </c>
      <c r="L33" s="24" t="s">
        <v>108</v>
      </c>
      <c r="M33" s="26" t="str">
        <f aca="false">IFERROR(INDEX(W1_WYBOR!$B$6:$B$80,MATCH($L33,W1_WYBOR!$A$6:$A$80,0)),"")</f>
        <v>Tożsamość, logowanie i sesje</v>
      </c>
      <c r="N33" s="26" t="str">
        <f aca="false">IFERROR(INDEX(W1_WYBOR!$F$6:$F$80,MATCH($L33,W1_WYBOR!$A$6:$A$80,0)),"")</f>
        <v>BIERZEMY OPEN SOURCE + nasza warstwa</v>
      </c>
      <c r="O33" s="28" t="str">
        <f aca="false">IFERROR(INDEX(W1_WYBOR!$L$6:$L$80,MATCH($L33,W1_WYBOR!$A$6:$A$80,0)),"")</f>
        <v>Keycloak w naszej chmurze UE jako dostawca OIDC: klucze dostępu (WebAuthn/FIDO2), logowanie Apple/Google, TOTP, link e-mail, sesje i urządzenia; PIN i biometria lokalnie w aplikacji mobilnej</v>
      </c>
      <c r="P33" s="28" t="str">
        <f aca="false">IFERROR(INDEX(W1_WYBOR!$M$6:$M$80,MATCH($L33,W1_WYBOR!$A$6:$A$80,0)),"")</f>
        <v>Keycloak w klastrze (wysoka dostępność); organizacje = placówki; SMS jako drugi składnik tylko awaryjnie</v>
      </c>
      <c r="Q33" s="27" t="str">
        <f aca="false">IFERROR(INDEX(W1_WYBOR!$P$6:$P$80,MATCH($L33,W1_WYBOR!$A$6:$A$80,0)),"")</f>
        <v>ZMIANA</v>
      </c>
      <c r="R33" s="26" t="s">
        <v>1414</v>
      </c>
      <c r="S33" s="26" t="str">
        <f aca="false">IFERROR(INDEX(W1_WYBOR!$V$6:$V$80,MATCH($L33,W1_WYBOR!$A$6:$A$80,0)),"")</f>
        <v>Zaimplementowane własne logowanie (scrypt, TOTP z ochroną przed powtórzeniem, sesje, CSRF, HIBP); do podłączenia jako klient OIDC</v>
      </c>
    </row>
    <row r="34" customFormat="false" ht="25.5" hidden="false" customHeight="true" outlineLevel="0" collapsed="false">
      <c r="A34" s="24" t="s">
        <v>1415</v>
      </c>
      <c r="B34" s="26" t="s">
        <v>1416</v>
      </c>
      <c r="C34" s="26" t="s">
        <v>1304</v>
      </c>
      <c r="D34" s="26" t="s">
        <v>1305</v>
      </c>
      <c r="E34" s="27" t="s">
        <v>1306</v>
      </c>
      <c r="F34" s="27" t="s">
        <v>1307</v>
      </c>
      <c r="G34" s="27" t="n">
        <v>1</v>
      </c>
      <c r="H34" s="26" t="s">
        <v>1400</v>
      </c>
      <c r="I34" s="27" t="s">
        <v>1309</v>
      </c>
      <c r="J34" s="26" t="s">
        <v>1121</v>
      </c>
      <c r="K34" s="26" t="s">
        <v>151</v>
      </c>
      <c r="L34" s="24" t="s">
        <v>1119</v>
      </c>
      <c r="M34" s="26" t="str">
        <f aca="false">IFERROR(INDEX(W1_WYBOR!$B$6:$B$80,MATCH($L34,W1_WYBOR!$A$6:$A$80,0)),"")</f>
        <v>Funkcja własna na wspólnych komponentach (W2)</v>
      </c>
      <c r="N34" s="26" t="str">
        <f aca="false">IFERROR(INDEX(W1_WYBOR!$F$6:$F$80,MATCH($L34,W1_WYBOR!$A$6:$A$80,0)),"")</f>
        <v>WŁASNE na komponentach z W2</v>
      </c>
      <c r="O34" s="28" t="str">
        <f aca="false">IFERROR(INDEX(W1_WYBOR!$L$6:$L$80,MATCH($L34,W1_WYBOR!$A$6:$A$80,0)),"")</f>
        <v>Budujemy w aplikacji Eternal na komponentach W2</v>
      </c>
      <c r="P34" s="28" t="str">
        <f aca="false">IFERROR(INDEX(W1_WYBOR!$M$6:$M$80,MATCH($L34,W1_WYBOR!$A$6:$A$80,0)),"")</f>
        <v>Jak MVP</v>
      </c>
      <c r="Q34" s="27" t="str">
        <f aca="false">IFERROR(INDEX(W1_WYBOR!$P$6:$P$80,MATCH($L34,W1_WYBOR!$A$6:$A$80,0)),"")</f>
        <v>BEZ ZMIAN</v>
      </c>
      <c r="R34" s="26"/>
      <c r="S34" s="26" t="str">
        <f aca="false">IFERROR(INDEX(W1_WYBOR!$V$6:$V$80,MATCH($L34,W1_WYBOR!$A$6:$A$80,0)),"")</f>
        <v>Zob. kolumna uwag w W3</v>
      </c>
    </row>
    <row r="35" customFormat="false" ht="48.75" hidden="false" customHeight="true" outlineLevel="0" collapsed="false">
      <c r="A35" s="24" t="s">
        <v>1417</v>
      </c>
      <c r="B35" s="26" t="s">
        <v>1418</v>
      </c>
      <c r="C35" s="26" t="s">
        <v>1304</v>
      </c>
      <c r="D35" s="26" t="s">
        <v>1305</v>
      </c>
      <c r="E35" s="27" t="s">
        <v>1306</v>
      </c>
      <c r="F35" s="27" t="s">
        <v>1307</v>
      </c>
      <c r="G35" s="27" t="n">
        <v>1</v>
      </c>
      <c r="H35" s="26" t="s">
        <v>1400</v>
      </c>
      <c r="I35" s="27" t="s">
        <v>1309</v>
      </c>
      <c r="J35" s="26" t="s">
        <v>223</v>
      </c>
      <c r="K35" s="26" t="s">
        <v>1352</v>
      </c>
      <c r="L35" s="24" t="s">
        <v>221</v>
      </c>
      <c r="M35" s="26" t="str">
        <f aca="false">IFERROR(INDEX(W1_WYBOR!$B$6:$B$80,MATCH($L35,W1_WYBOR!$A$6:$A$80,0)),"")</f>
        <v>Rekord zdrowia — serwer FHIR R4</v>
      </c>
      <c r="N35" s="26" t="str">
        <f aca="false">IFERROR(INDEX(W1_WYBOR!$F$6:$F$80,MATCH($L35,W1_WYBOR!$A$6:$A$80,0)),"")</f>
        <v>BIERZEMY OPEN SOURCE + nasza warstwa</v>
      </c>
      <c r="O35" s="28" t="str">
        <f aca="false">IFERROR(INDEX(W1_WYBOR!$L$6:$L$80,MATCH($L35,W1_WYBOR!$A$6:$A$80,0)),"")</f>
        <v>Medplum na własnej infrastrukturze w UE (adapter gotowy, ten sam język co aplikacja)</v>
      </c>
      <c r="P35" s="28" t="str">
        <f aca="false">IFERROR(INDEX(W1_WYBOR!$M$6:$M$80,MATCH($L35,W1_WYBOR!$A$6:$A$80,0)),"")</f>
        <v>Medplum w wysokiej dostępności (zarządzany PostgreSQL); opcjonalnie wsparcie Enterprise</v>
      </c>
      <c r="Q35" s="27" t="str">
        <f aca="false">IFERROR(INDEX(W1_WYBOR!$P$6:$P$80,MATCH($L35,W1_WYBOR!$A$6:$A$80,0)),"")</f>
        <v>DOPRECYZOWANIE</v>
      </c>
      <c r="R35" s="26"/>
      <c r="S35" s="26" t="str">
        <f aca="false">IFERROR(INDEX(W1_WYBOR!$V$6:$V$80,MATCH($L35,W1_WYBOR!$A$6:$A$80,0)),"")</f>
        <v>Zaimplementowane: repozytorium FHIR z trzema zapleczami (lokalne, Medplum przez SDK, dowolny FHIR R4); rezerwacja z If-Match</v>
      </c>
    </row>
    <row r="36" customFormat="false" ht="60" hidden="false" customHeight="true" outlineLevel="0" collapsed="false">
      <c r="A36" s="24" t="s">
        <v>1419</v>
      </c>
      <c r="B36" s="26" t="s">
        <v>1420</v>
      </c>
      <c r="C36" s="26" t="s">
        <v>1304</v>
      </c>
      <c r="D36" s="26" t="s">
        <v>1305</v>
      </c>
      <c r="E36" s="27" t="s">
        <v>1306</v>
      </c>
      <c r="F36" s="27" t="s">
        <v>1307</v>
      </c>
      <c r="G36" s="27" t="n">
        <v>1</v>
      </c>
      <c r="H36" s="26" t="s">
        <v>1400</v>
      </c>
      <c r="I36" s="27" t="s">
        <v>1309</v>
      </c>
      <c r="J36" s="26" t="s">
        <v>110</v>
      </c>
      <c r="K36" s="26" t="s">
        <v>1401</v>
      </c>
      <c r="L36" s="24" t="s">
        <v>108</v>
      </c>
      <c r="M36" s="26" t="str">
        <f aca="false">IFERROR(INDEX(W1_WYBOR!$B$6:$B$80,MATCH($L36,W1_WYBOR!$A$6:$A$80,0)),"")</f>
        <v>Tożsamość, logowanie i sesje</v>
      </c>
      <c r="N36" s="26" t="str">
        <f aca="false">IFERROR(INDEX(W1_WYBOR!$F$6:$F$80,MATCH($L36,W1_WYBOR!$A$6:$A$80,0)),"")</f>
        <v>BIERZEMY OPEN SOURCE + nasza warstwa</v>
      </c>
      <c r="O36" s="28" t="str">
        <f aca="false">IFERROR(INDEX(W1_WYBOR!$L$6:$L$80,MATCH($L36,W1_WYBOR!$A$6:$A$80,0)),"")</f>
        <v>Keycloak w naszej chmurze UE jako dostawca OIDC: klucze dostępu (WebAuthn/FIDO2), logowanie Apple/Google, TOTP, link e-mail, sesje i urządzenia; PIN i biometria lokalnie w aplikacji mobilnej</v>
      </c>
      <c r="P36" s="28" t="str">
        <f aca="false">IFERROR(INDEX(W1_WYBOR!$M$6:$M$80,MATCH($L36,W1_WYBOR!$A$6:$A$80,0)),"")</f>
        <v>Keycloak w klastrze (wysoka dostępność); organizacje = placówki; SMS jako drugi składnik tylko awaryjnie</v>
      </c>
      <c r="Q36" s="27" t="str">
        <f aca="false">IFERROR(INDEX(W1_WYBOR!$P$6:$P$80,MATCH($L36,W1_WYBOR!$A$6:$A$80,0)),"")</f>
        <v>ZMIANA</v>
      </c>
      <c r="R36" s="26" t="s">
        <v>1421</v>
      </c>
      <c r="S36" s="26" t="str">
        <f aca="false">IFERROR(INDEX(W1_WYBOR!$V$6:$V$80,MATCH($L36,W1_WYBOR!$A$6:$A$80,0)),"")</f>
        <v>Zaimplementowane własne logowanie (scrypt, TOTP z ochroną przed powtórzeniem, sesje, CSRF, HIBP); do podłączenia jako klient OIDC</v>
      </c>
    </row>
    <row r="37" customFormat="false" ht="37.5" hidden="false" customHeight="true" outlineLevel="0" collapsed="false">
      <c r="A37" s="24" t="s">
        <v>1422</v>
      </c>
      <c r="B37" s="26" t="s">
        <v>1423</v>
      </c>
      <c r="C37" s="26" t="s">
        <v>1304</v>
      </c>
      <c r="D37" s="26" t="s">
        <v>1305</v>
      </c>
      <c r="E37" s="27" t="s">
        <v>1306</v>
      </c>
      <c r="F37" s="27" t="s">
        <v>1307</v>
      </c>
      <c r="G37" s="27" t="n">
        <v>1</v>
      </c>
      <c r="H37" s="26" t="s">
        <v>1400</v>
      </c>
      <c r="I37" s="27" t="s">
        <v>1309</v>
      </c>
      <c r="J37" s="26" t="s">
        <v>129</v>
      </c>
      <c r="K37" s="26" t="s">
        <v>1424</v>
      </c>
      <c r="L37" s="24" t="s">
        <v>128</v>
      </c>
      <c r="M37" s="26" t="str">
        <f aca="false">IFERROR(INDEX(W1_WYBOR!$B$6:$B$80,MATCH($L37,W1_WYBOR!$A$6:$A$80,0)),"")</f>
        <v>Bramka SMS</v>
      </c>
      <c r="N37" s="26" t="str">
        <f aca="false">IFERROR(INDEX(W1_WYBOR!$F$6:$F$80,MATCH($L37,W1_WYBOR!$A$6:$A$80,0)),"")</f>
        <v>KUPUJEMY USŁUGĘ + nasza warstwa</v>
      </c>
      <c r="O37" s="28" t="str">
        <f aca="false">IFERROR(INDEX(W1_WYBOR!$L$6:$L$80,MATCH($L37,W1_WYBOR!$A$6:$A$80,0)),"")</f>
        <v>SMSAPI.pl (już podłączone w aplikacji) — wyłącznie kody i przypomnienia bez danych o zdrowiu</v>
      </c>
      <c r="P37" s="28" t="str">
        <f aca="false">IFERROR(INDEX(W1_WYBOR!$M$6:$M$80,MATCH($L37,W1_WYBOR!$A$6:$A$80,0)),"")</f>
        <v>SMSAPI.pl + zapasowy OVHcloud SMS (przełączanie w naszej warstwie kanałów)</v>
      </c>
      <c r="Q37" s="27" t="str">
        <f aca="false">IFERROR(INDEX(W1_WYBOR!$P$6:$P$80,MATCH($L37,W1_WYBOR!$A$6:$A$80,0)),"")</f>
        <v>BEZ ZMIAN</v>
      </c>
      <c r="R37" s="26" t="s">
        <v>1425</v>
      </c>
      <c r="S37" s="26" t="str">
        <f aca="false">IFERROR(INDEX(W1_WYBOR!$V$6:$V$80,MATCH($L37,W1_WYBOR!$A$6:$A$80,0)),"")</f>
        <v>Zaimplementowane: SMSAPI.pl i bramka webhook, normalizacja numerów</v>
      </c>
    </row>
    <row r="38" customFormat="false" ht="60" hidden="false" customHeight="true" outlineLevel="0" collapsed="false">
      <c r="A38" s="24" t="s">
        <v>1426</v>
      </c>
      <c r="B38" s="26" t="s">
        <v>1427</v>
      </c>
      <c r="C38" s="26" t="s">
        <v>1304</v>
      </c>
      <c r="D38" s="26" t="s">
        <v>1305</v>
      </c>
      <c r="E38" s="27" t="s">
        <v>1306</v>
      </c>
      <c r="F38" s="27" t="s">
        <v>1307</v>
      </c>
      <c r="G38" s="27" t="n">
        <v>1</v>
      </c>
      <c r="H38" s="26" t="s">
        <v>1400</v>
      </c>
      <c r="I38" s="27" t="s">
        <v>1309</v>
      </c>
      <c r="J38" s="26" t="s">
        <v>110</v>
      </c>
      <c r="K38" s="26" t="s">
        <v>1401</v>
      </c>
      <c r="L38" s="24" t="s">
        <v>108</v>
      </c>
      <c r="M38" s="26" t="str">
        <f aca="false">IFERROR(INDEX(W1_WYBOR!$B$6:$B$80,MATCH($L38,W1_WYBOR!$A$6:$A$80,0)),"")</f>
        <v>Tożsamość, logowanie i sesje</v>
      </c>
      <c r="N38" s="26" t="str">
        <f aca="false">IFERROR(INDEX(W1_WYBOR!$F$6:$F$80,MATCH($L38,W1_WYBOR!$A$6:$A$80,0)),"")</f>
        <v>BIERZEMY OPEN SOURCE + nasza warstwa</v>
      </c>
      <c r="O38" s="28" t="str">
        <f aca="false">IFERROR(INDEX(W1_WYBOR!$L$6:$L$80,MATCH($L38,W1_WYBOR!$A$6:$A$80,0)),"")</f>
        <v>Keycloak w naszej chmurze UE jako dostawca OIDC: klucze dostępu (WebAuthn/FIDO2), logowanie Apple/Google, TOTP, link e-mail, sesje i urządzenia; PIN i biometria lokalnie w aplikacji mobilnej</v>
      </c>
      <c r="P38" s="28" t="str">
        <f aca="false">IFERROR(INDEX(W1_WYBOR!$M$6:$M$80,MATCH($L38,W1_WYBOR!$A$6:$A$80,0)),"")</f>
        <v>Keycloak w klastrze (wysoka dostępność); organizacje = placówki; SMS jako drugi składnik tylko awaryjnie</v>
      </c>
      <c r="Q38" s="27" t="str">
        <f aca="false">IFERROR(INDEX(W1_WYBOR!$P$6:$P$80,MATCH($L38,W1_WYBOR!$A$6:$A$80,0)),"")</f>
        <v>ZMIANA</v>
      </c>
      <c r="R38" s="26" t="s">
        <v>1428</v>
      </c>
      <c r="S38" s="26" t="str">
        <f aca="false">IFERROR(INDEX(W1_WYBOR!$V$6:$V$80,MATCH($L38,W1_WYBOR!$A$6:$A$80,0)),"")</f>
        <v>Zaimplementowane własne logowanie (scrypt, TOTP z ochroną przed powtórzeniem, sesje, CSRF, HIBP); do podłączenia jako klient OIDC</v>
      </c>
    </row>
    <row r="39" customFormat="false" ht="60" hidden="false" customHeight="true" outlineLevel="0" collapsed="false">
      <c r="A39" s="24" t="s">
        <v>1429</v>
      </c>
      <c r="B39" s="26" t="s">
        <v>1430</v>
      </c>
      <c r="C39" s="26" t="s">
        <v>1304</v>
      </c>
      <c r="D39" s="26" t="s">
        <v>1305</v>
      </c>
      <c r="E39" s="27" t="s">
        <v>1306</v>
      </c>
      <c r="F39" s="27" t="s">
        <v>1307</v>
      </c>
      <c r="G39" s="27" t="n">
        <v>1</v>
      </c>
      <c r="H39" s="26" t="s">
        <v>1400</v>
      </c>
      <c r="I39" s="27" t="s">
        <v>1309</v>
      </c>
      <c r="J39" s="26" t="s">
        <v>110</v>
      </c>
      <c r="K39" s="26" t="s">
        <v>1401</v>
      </c>
      <c r="L39" s="24" t="s">
        <v>108</v>
      </c>
      <c r="M39" s="26" t="str">
        <f aca="false">IFERROR(INDEX(W1_WYBOR!$B$6:$B$80,MATCH($L39,W1_WYBOR!$A$6:$A$80,0)),"")</f>
        <v>Tożsamość, logowanie i sesje</v>
      </c>
      <c r="N39" s="26" t="str">
        <f aca="false">IFERROR(INDEX(W1_WYBOR!$F$6:$F$80,MATCH($L39,W1_WYBOR!$A$6:$A$80,0)),"")</f>
        <v>BIERZEMY OPEN SOURCE + nasza warstwa</v>
      </c>
      <c r="O39" s="28" t="str">
        <f aca="false">IFERROR(INDEX(W1_WYBOR!$L$6:$L$80,MATCH($L39,W1_WYBOR!$A$6:$A$80,0)),"")</f>
        <v>Keycloak w naszej chmurze UE jako dostawca OIDC: klucze dostępu (WebAuthn/FIDO2), logowanie Apple/Google, TOTP, link e-mail, sesje i urządzenia; PIN i biometria lokalnie w aplikacji mobilnej</v>
      </c>
      <c r="P39" s="28" t="str">
        <f aca="false">IFERROR(INDEX(W1_WYBOR!$M$6:$M$80,MATCH($L39,W1_WYBOR!$A$6:$A$80,0)),"")</f>
        <v>Keycloak w klastrze (wysoka dostępność); organizacje = placówki; SMS jako drugi składnik tylko awaryjnie</v>
      </c>
      <c r="Q39" s="27" t="str">
        <f aca="false">IFERROR(INDEX(W1_WYBOR!$P$6:$P$80,MATCH($L39,W1_WYBOR!$A$6:$A$80,0)),"")</f>
        <v>ZMIANA</v>
      </c>
      <c r="R39" s="26" t="s">
        <v>1431</v>
      </c>
      <c r="S39" s="26" t="str">
        <f aca="false">IFERROR(INDEX(W1_WYBOR!$V$6:$V$80,MATCH($L39,W1_WYBOR!$A$6:$A$80,0)),"")</f>
        <v>Zaimplementowane własne logowanie (scrypt, TOTP z ochroną przed powtórzeniem, sesje, CSRF, HIBP); do podłączenia jako klient OIDC</v>
      </c>
    </row>
    <row r="40" customFormat="false" ht="60" hidden="false" customHeight="true" outlineLevel="0" collapsed="false">
      <c r="A40" s="24" t="s">
        <v>1432</v>
      </c>
      <c r="B40" s="26" t="s">
        <v>1433</v>
      </c>
      <c r="C40" s="26" t="s">
        <v>1304</v>
      </c>
      <c r="D40" s="26" t="s">
        <v>1305</v>
      </c>
      <c r="E40" s="27" t="s">
        <v>1306</v>
      </c>
      <c r="F40" s="27" t="s">
        <v>1307</v>
      </c>
      <c r="G40" s="27" t="n">
        <v>1</v>
      </c>
      <c r="H40" s="26" t="s">
        <v>1400</v>
      </c>
      <c r="I40" s="27" t="s">
        <v>1309</v>
      </c>
      <c r="J40" s="26" t="s">
        <v>110</v>
      </c>
      <c r="K40" s="26" t="s">
        <v>1401</v>
      </c>
      <c r="L40" s="24" t="s">
        <v>108</v>
      </c>
      <c r="M40" s="26" t="str">
        <f aca="false">IFERROR(INDEX(W1_WYBOR!$B$6:$B$80,MATCH($L40,W1_WYBOR!$A$6:$A$80,0)),"")</f>
        <v>Tożsamość, logowanie i sesje</v>
      </c>
      <c r="N40" s="26" t="str">
        <f aca="false">IFERROR(INDEX(W1_WYBOR!$F$6:$F$80,MATCH($L40,W1_WYBOR!$A$6:$A$80,0)),"")</f>
        <v>BIERZEMY OPEN SOURCE + nasza warstwa</v>
      </c>
      <c r="O40" s="28" t="str">
        <f aca="false">IFERROR(INDEX(W1_WYBOR!$L$6:$L$80,MATCH($L40,W1_WYBOR!$A$6:$A$80,0)),"")</f>
        <v>Keycloak w naszej chmurze UE jako dostawca OIDC: klucze dostępu (WebAuthn/FIDO2), logowanie Apple/Google, TOTP, link e-mail, sesje i urządzenia; PIN i biometria lokalnie w aplikacji mobilnej</v>
      </c>
      <c r="P40" s="28" t="str">
        <f aca="false">IFERROR(INDEX(W1_WYBOR!$M$6:$M$80,MATCH($L40,W1_WYBOR!$A$6:$A$80,0)),"")</f>
        <v>Keycloak w klastrze (wysoka dostępność); organizacje = placówki; SMS jako drugi składnik tylko awaryjnie</v>
      </c>
      <c r="Q40" s="27" t="str">
        <f aca="false">IFERROR(INDEX(W1_WYBOR!$P$6:$P$80,MATCH($L40,W1_WYBOR!$A$6:$A$80,0)),"")</f>
        <v>ZMIANA</v>
      </c>
      <c r="R40" s="26" t="s">
        <v>1434</v>
      </c>
      <c r="S40" s="26" t="str">
        <f aca="false">IFERROR(INDEX(W1_WYBOR!$V$6:$V$80,MATCH($L40,W1_WYBOR!$A$6:$A$80,0)),"")</f>
        <v>Zaimplementowane własne logowanie (scrypt, TOTP z ochroną przed powtórzeniem, sesje, CSRF, HIBP); do podłączenia jako klient OIDC</v>
      </c>
    </row>
    <row r="41" customFormat="false" ht="37.5" hidden="false" customHeight="true" outlineLevel="0" collapsed="false">
      <c r="A41" s="24" t="s">
        <v>1435</v>
      </c>
      <c r="B41" s="26" t="s">
        <v>1436</v>
      </c>
      <c r="C41" s="26" t="s">
        <v>1304</v>
      </c>
      <c r="D41" s="26" t="s">
        <v>1305</v>
      </c>
      <c r="E41" s="27" t="s">
        <v>1306</v>
      </c>
      <c r="F41" s="27" t="s">
        <v>1307</v>
      </c>
      <c r="G41" s="27" t="n">
        <v>1</v>
      </c>
      <c r="H41" s="26" t="s">
        <v>1400</v>
      </c>
      <c r="I41" s="27" t="s">
        <v>1309</v>
      </c>
      <c r="J41" s="26" t="s">
        <v>1437</v>
      </c>
      <c r="K41" s="26" t="s">
        <v>1438</v>
      </c>
      <c r="L41" s="24" t="s">
        <v>1106</v>
      </c>
      <c r="M41" s="26" t="str">
        <f aca="false">IFERROR(INDEX(W1_WYBOR!$B$6:$B$80,MATCH($L41,W1_WYBOR!$A$6:$A$80,0)),"")</f>
        <v>Funkcja systemu telefonu, przeglądarki lub urządzenia (nie kupujemy)</v>
      </c>
      <c r="N41" s="26" t="str">
        <f aca="false">IFERROR(INDEX(W1_WYBOR!$F$6:$F$80,MATCH($L41,W1_WYBOR!$A$6:$A$80,0)),"")</f>
        <v>SYSTEM</v>
      </c>
      <c r="O41" s="28" t="str">
        <f aca="false">IFERROR(INDEX(W1_WYBOR!$L$6:$L$80,MATCH($L41,W1_WYBOR!$A$6:$A$80,0)),"")</f>
        <v>Funkcja systemu + nasza obsługa w aplikacji</v>
      </c>
      <c r="P41" s="28" t="str">
        <f aca="false">IFERROR(INDEX(W1_WYBOR!$M$6:$M$80,MATCH($L41,W1_WYBOR!$A$6:$A$80,0)),"")</f>
        <v>Jak MVP</v>
      </c>
      <c r="Q41" s="27" t="str">
        <f aca="false">IFERROR(INDEX(W1_WYBOR!$P$6:$P$80,MATCH($L41,W1_WYBOR!$A$6:$A$80,0)),"")</f>
        <v>BEZ ZMIAN</v>
      </c>
      <c r="R41" s="26"/>
      <c r="S41" s="26" t="str">
        <f aca="false">IFERROR(INDEX(W1_WYBOR!$V$6:$V$80,MATCH($L41,W1_WYBOR!$A$6:$A$80,0)),"")</f>
        <v>Częściowo (PWA); pełny dostęp w aplikacji mobilnej</v>
      </c>
    </row>
    <row r="42" customFormat="false" ht="37.5" hidden="false" customHeight="true" outlineLevel="0" collapsed="false">
      <c r="A42" s="24" t="s">
        <v>1439</v>
      </c>
      <c r="B42" s="26" t="s">
        <v>1440</v>
      </c>
      <c r="C42" s="26" t="s">
        <v>1304</v>
      </c>
      <c r="D42" s="26" t="s">
        <v>1305</v>
      </c>
      <c r="E42" s="27" t="s">
        <v>1306</v>
      </c>
      <c r="F42" s="27" t="s">
        <v>1307</v>
      </c>
      <c r="G42" s="27" t="n">
        <v>28</v>
      </c>
      <c r="H42" s="26" t="s">
        <v>1441</v>
      </c>
      <c r="I42" s="27" t="s">
        <v>1309</v>
      </c>
      <c r="J42" s="26" t="s">
        <v>674</v>
      </c>
      <c r="K42" s="26" t="s">
        <v>1442</v>
      </c>
      <c r="L42" s="24" t="s">
        <v>672</v>
      </c>
      <c r="M42" s="26" t="str">
        <f aca="false">IFERROR(INDEX(W1_WYBOR!$B$6:$B$80,MATCH($L42,W1_WYBOR!$A$6:$A$80,0)),"")</f>
        <v>SOS i teleopieka 24/7</v>
      </c>
      <c r="N42" s="26" t="str">
        <f aca="false">IFERROR(INDEX(W1_WYBOR!$F$6:$F$80,MATCH($L42,W1_WYBOR!$A$6:$A$80,0)),"")</f>
        <v>WŁASNE (bezpłatne) + POŚREDNICTWO</v>
      </c>
      <c r="O42" s="28" t="str">
        <f aca="false">IFERROR(INDEX(W1_WYBOR!$L$6:$L$80,MATCH($L42,W1_WYBOR!$A$6:$A$80,0)),"")</f>
        <v>Przycisk 112 + powiadomienie bliskich (bez obietnicy reakcji); teleopieka 24/7 — partner wybrany w naborze (SiDLY albo Comarch)</v>
      </c>
      <c r="P42" s="28" t="str">
        <f aca="false">IFERROR(INDEX(W1_WYBOR!$M$6:$M$80,MATCH($L42,W1_WYBOR!$A$6:$A$80,0)),"")</f>
        <v>Teleopieka partnera w pakiecie Senior</v>
      </c>
      <c r="Q42" s="27" t="str">
        <f aca="false">IFERROR(INDEX(W1_WYBOR!$P$6:$P$80,MATCH($L42,W1_WYBOR!$A$6:$A$80,0)),"")</f>
        <v>DOPRECYZOWANIE</v>
      </c>
      <c r="R42" s="26" t="s">
        <v>1443</v>
      </c>
      <c r="S42" s="26" t="str">
        <f aca="false">IFERROR(INDEX(W1_WYBOR!$V$6:$V$80,MATCH($L42,W1_WYBOR!$A$6:$A$80,0)),"")</f>
        <v>Częściowo: informacja o numerach alarmowych w stopce</v>
      </c>
    </row>
    <row r="43" customFormat="false" ht="48.75" hidden="false" customHeight="true" outlineLevel="0" collapsed="false">
      <c r="A43" s="24" t="s">
        <v>1444</v>
      </c>
      <c r="B43" s="26" t="s">
        <v>1445</v>
      </c>
      <c r="C43" s="26" t="s">
        <v>1304</v>
      </c>
      <c r="D43" s="26" t="s">
        <v>1305</v>
      </c>
      <c r="E43" s="27" t="s">
        <v>1306</v>
      </c>
      <c r="F43" s="27" t="s">
        <v>1307</v>
      </c>
      <c r="G43" s="27" t="n">
        <v>8</v>
      </c>
      <c r="H43" s="26" t="s">
        <v>1329</v>
      </c>
      <c r="I43" s="27" t="s">
        <v>1309</v>
      </c>
      <c r="J43" s="26" t="s">
        <v>456</v>
      </c>
      <c r="K43" s="26" t="s">
        <v>1330</v>
      </c>
      <c r="L43" s="24" t="s">
        <v>454</v>
      </c>
      <c r="M43" s="26" t="str">
        <f aca="false">IFERROR(INDEX(W1_WYBOR!$B$6:$B$80,MATCH($L43,W1_WYBOR!$A$6:$A$80,0)),"")</f>
        <v>Powiadomienia i przypomnienia</v>
      </c>
      <c r="N43" s="26" t="str">
        <f aca="false">IFERROR(INDEX(W1_WYBOR!$F$6:$F$80,MATCH($L43,W1_WYBOR!$A$6:$A$80,0)),"")</f>
        <v>WŁASNA KOLEJKA na bezpłatnych kanałach</v>
      </c>
      <c r="O43" s="28" t="str">
        <f aca="false">IFERROR(INDEX(W1_WYBOR!$L$6:$L$80,MATCH($L43,W1_WYBOR!$A$6:$A$80,0)),"")</f>
        <v>Nasza kolejka (gotowa) + APNs/FCM/Web Push + Amazon SES (region UE) + SMSAPI</v>
      </c>
      <c r="P43" s="28" t="str">
        <f aca="false">IFERROR(INDEX(W1_WYBOR!$M$6:$M$80,MATCH($L43,W1_WYBOR!$A$6:$A$80,0)),"")</f>
        <v>Novu na naszym serwerze, gdy rośnie liczba kanałów, szablonów i preferencji</v>
      </c>
      <c r="Q43" s="27" t="str">
        <f aca="false">IFERROR(INDEX(W1_WYBOR!$P$6:$P$80,MATCH($L43,W1_WYBOR!$A$6:$A$80,0)),"")</f>
        <v>BEZ ZMIAN</v>
      </c>
      <c r="R43" s="26"/>
      <c r="S43" s="26" t="str">
        <f aca="false">IFERROR(INDEX(W1_WYBOR!$V$6:$V$80,MATCH($L43,W1_WYBOR!$A$6:$A$80,0)),"")</f>
        <v>Zaimplementowane: kolejka, Web Push, SMTP, SMS, preferencje, przypomnienia o wizytach</v>
      </c>
    </row>
    <row r="44" customFormat="false" ht="37.5" hidden="false" customHeight="true" outlineLevel="0" collapsed="false">
      <c r="A44" s="24" t="s">
        <v>1446</v>
      </c>
      <c r="B44" s="26" t="s">
        <v>1447</v>
      </c>
      <c r="C44" s="26" t="s">
        <v>1304</v>
      </c>
      <c r="D44" s="26" t="s">
        <v>1305</v>
      </c>
      <c r="E44" s="27" t="s">
        <v>1306</v>
      </c>
      <c r="F44" s="27" t="s">
        <v>1307</v>
      </c>
      <c r="G44" s="27" t="n">
        <v>9</v>
      </c>
      <c r="H44" s="26" t="s">
        <v>1448</v>
      </c>
      <c r="I44" s="27" t="s">
        <v>1309</v>
      </c>
      <c r="J44" s="26" t="s">
        <v>476</v>
      </c>
      <c r="K44" s="26" t="s">
        <v>1449</v>
      </c>
      <c r="L44" s="24" t="s">
        <v>474</v>
      </c>
      <c r="M44" s="26" t="str">
        <f aca="false">IFERROR(INDEX(W1_WYBOR!$B$6:$B$80,MATCH($L44,W1_WYBOR!$A$6:$A$80,0)),"")</f>
        <v>Raporty i dokumenty PDF</v>
      </c>
      <c r="N44" s="26" t="str">
        <f aca="false">IFERROR(INDEX(W1_WYBOR!$F$6:$F$80,MATCH($L44,W1_WYBOR!$A$6:$A$80,0)),"")</f>
        <v>OPEN SOURCE u nas</v>
      </c>
      <c r="O44" s="28" t="str">
        <f aca="false">IFERROR(INDEX(W1_WYBOR!$L$6:$L$80,MATCH($L44,W1_WYBOR!$A$6:$A$80,0)),"")</f>
        <v>Szablony wersjonowane + Gotenberg na naszym serwerze; PDF dostępny (PDF/UA)</v>
      </c>
      <c r="P44" s="28" t="str">
        <f aca="false">IFERROR(INDEX(W1_WYBOR!$M$6:$M$80,MATCH($L44,W1_WYBOR!$A$6:$A$80,0)),"")</f>
        <v>Jak MVP</v>
      </c>
      <c r="Q44" s="27" t="str">
        <f aca="false">IFERROR(INDEX(W1_WYBOR!$P$6:$P$80,MATCH($L44,W1_WYBOR!$A$6:$A$80,0)),"")</f>
        <v>BEZ ZMIAN</v>
      </c>
      <c r="R44" s="26"/>
      <c r="S44" s="26" t="str">
        <f aca="false">IFERROR(INDEX(W1_WYBOR!$V$6:$V$80,MATCH($L44,W1_WYBOR!$A$6:$A$80,0)),"")</f>
        <v>Częściowo: generator PDF w danych demonstracyjnych</v>
      </c>
    </row>
    <row r="45" customFormat="false" ht="37.5" hidden="false" customHeight="true" outlineLevel="0" collapsed="false">
      <c r="A45" s="24" t="s">
        <v>1450</v>
      </c>
      <c r="B45" s="26" t="s">
        <v>1451</v>
      </c>
      <c r="C45" s="26" t="s">
        <v>1304</v>
      </c>
      <c r="D45" s="26" t="s">
        <v>1305</v>
      </c>
      <c r="E45" s="27" t="s">
        <v>1306</v>
      </c>
      <c r="F45" s="27" t="s">
        <v>1307</v>
      </c>
      <c r="G45" s="27" t="n">
        <v>9</v>
      </c>
      <c r="H45" s="26" t="s">
        <v>1448</v>
      </c>
      <c r="I45" s="27" t="s">
        <v>1309</v>
      </c>
      <c r="J45" s="26" t="s">
        <v>476</v>
      </c>
      <c r="K45" s="26" t="s">
        <v>1449</v>
      </c>
      <c r="L45" s="24" t="s">
        <v>474</v>
      </c>
      <c r="M45" s="26" t="str">
        <f aca="false">IFERROR(INDEX(W1_WYBOR!$B$6:$B$80,MATCH($L45,W1_WYBOR!$A$6:$A$80,0)),"")</f>
        <v>Raporty i dokumenty PDF</v>
      </c>
      <c r="N45" s="26" t="str">
        <f aca="false">IFERROR(INDEX(W1_WYBOR!$F$6:$F$80,MATCH($L45,W1_WYBOR!$A$6:$A$80,0)),"")</f>
        <v>OPEN SOURCE u nas</v>
      </c>
      <c r="O45" s="28" t="str">
        <f aca="false">IFERROR(INDEX(W1_WYBOR!$L$6:$L$80,MATCH($L45,W1_WYBOR!$A$6:$A$80,0)),"")</f>
        <v>Szablony wersjonowane + Gotenberg na naszym serwerze; PDF dostępny (PDF/UA)</v>
      </c>
      <c r="P45" s="28" t="str">
        <f aca="false">IFERROR(INDEX(W1_WYBOR!$M$6:$M$80,MATCH($L45,W1_WYBOR!$A$6:$A$80,0)),"")</f>
        <v>Jak MVP</v>
      </c>
      <c r="Q45" s="27" t="str">
        <f aca="false">IFERROR(INDEX(W1_WYBOR!$P$6:$P$80,MATCH($L45,W1_WYBOR!$A$6:$A$80,0)),"")</f>
        <v>BEZ ZMIAN</v>
      </c>
      <c r="R45" s="26"/>
      <c r="S45" s="26" t="str">
        <f aca="false">IFERROR(INDEX(W1_WYBOR!$V$6:$V$80,MATCH($L45,W1_WYBOR!$A$6:$A$80,0)),"")</f>
        <v>Częściowo: generator PDF w danych demonstracyjnych</v>
      </c>
    </row>
    <row r="46" customFormat="false" ht="37.5" hidden="false" customHeight="true" outlineLevel="0" collapsed="false">
      <c r="A46" s="24" t="s">
        <v>1452</v>
      </c>
      <c r="B46" s="26" t="s">
        <v>1453</v>
      </c>
      <c r="C46" s="26" t="s">
        <v>1304</v>
      </c>
      <c r="D46" s="26" t="s">
        <v>1305</v>
      </c>
      <c r="E46" s="27" t="s">
        <v>1306</v>
      </c>
      <c r="F46" s="27" t="s">
        <v>1386</v>
      </c>
      <c r="G46" s="27" t="n">
        <v>9</v>
      </c>
      <c r="H46" s="26" t="s">
        <v>1448</v>
      </c>
      <c r="I46" s="27" t="s">
        <v>1454</v>
      </c>
      <c r="J46" s="26" t="s">
        <v>1339</v>
      </c>
      <c r="K46" s="26" t="s">
        <v>1340</v>
      </c>
      <c r="L46" s="24" t="s">
        <v>298</v>
      </c>
      <c r="M46" s="26" t="str">
        <f aca="false">IFERROR(INDEX(W1_WYBOR!$B$6:$B$80,MATCH($L46,W1_WYBOR!$A$6:$A$80,0)),"")</f>
        <v>Modele językowe (brama modeli)</v>
      </c>
      <c r="N46" s="26" t="str">
        <f aca="false">IFERROR(INDEX(W1_WYBOR!$F$6:$F$80,MATCH($L46,W1_WYBOR!$A$6:$A$80,0)),"")</f>
        <v>KUPUJEMY USŁUGĘ za własną bramą</v>
      </c>
      <c r="O46" s="28" t="str">
        <f aca="false">IFERROR(INDEX(W1_WYBOR!$L$6:$L$80,MATCH($L46,W1_WYBOR!$A$6:$A$80,0)),"")</f>
        <v>Claude przez Amazon Bedrock (profil eu.*) za naszą bramą LiteLLM + Mistral jako drugi dostawca z UE (przełączanie)</v>
      </c>
      <c r="P46" s="28" t="str">
        <f aca="false">IFERROR(INDEX(W1_WYBOR!$M$6:$M$80,MATCH($L46,W1_WYBOR!$A$6:$A$80,0)),"")</f>
        <v>+ Bielik v3 na własnym GPU w UE do zadań prostych (porządkowanie pól, klasyfikacja)</v>
      </c>
      <c r="Q46" s="27" t="str">
        <f aca="false">IFERROR(INDEX(W1_WYBOR!$P$6:$P$80,MATCH($L46,W1_WYBOR!$A$6:$A$80,0)),"")</f>
        <v>DOPRECYZOWANIE</v>
      </c>
      <c r="R46" s="26"/>
      <c r="S46" s="26" t="str">
        <f aca="false">IFERROR(INDEX(W1_WYBOR!$V$6:$V$80,MATCH($L46,W1_WYBOR!$A$6:$A$80,0)),"")</f>
        <v>Brak — świadomie (granica MDR w obecnej wersji)</v>
      </c>
    </row>
    <row r="47" customFormat="false" ht="48.75" hidden="false" customHeight="true" outlineLevel="0" collapsed="false">
      <c r="A47" s="24" t="s">
        <v>1455</v>
      </c>
      <c r="B47" s="26" t="s">
        <v>1456</v>
      </c>
      <c r="C47" s="26" t="s">
        <v>1304</v>
      </c>
      <c r="D47" s="26" t="s">
        <v>1305</v>
      </c>
      <c r="E47" s="27" t="s">
        <v>1306</v>
      </c>
      <c r="F47" s="27" t="s">
        <v>1386</v>
      </c>
      <c r="G47" s="27" t="n">
        <v>9</v>
      </c>
      <c r="H47" s="26" t="s">
        <v>1448</v>
      </c>
      <c r="I47" s="27" t="s">
        <v>1309</v>
      </c>
      <c r="J47" s="26" t="s">
        <v>223</v>
      </c>
      <c r="K47" s="26" t="s">
        <v>1352</v>
      </c>
      <c r="L47" s="24" t="s">
        <v>221</v>
      </c>
      <c r="M47" s="26" t="str">
        <f aca="false">IFERROR(INDEX(W1_WYBOR!$B$6:$B$80,MATCH($L47,W1_WYBOR!$A$6:$A$80,0)),"")</f>
        <v>Rekord zdrowia — serwer FHIR R4</v>
      </c>
      <c r="N47" s="26" t="str">
        <f aca="false">IFERROR(INDEX(W1_WYBOR!$F$6:$F$80,MATCH($L47,W1_WYBOR!$A$6:$A$80,0)),"")</f>
        <v>BIERZEMY OPEN SOURCE + nasza warstwa</v>
      </c>
      <c r="O47" s="28" t="str">
        <f aca="false">IFERROR(INDEX(W1_WYBOR!$L$6:$L$80,MATCH($L47,W1_WYBOR!$A$6:$A$80,0)),"")</f>
        <v>Medplum na własnej infrastrukturze w UE (adapter gotowy, ten sam język co aplikacja)</v>
      </c>
      <c r="P47" s="28" t="str">
        <f aca="false">IFERROR(INDEX(W1_WYBOR!$M$6:$M$80,MATCH($L47,W1_WYBOR!$A$6:$A$80,0)),"")</f>
        <v>Medplum w wysokiej dostępności (zarządzany PostgreSQL); opcjonalnie wsparcie Enterprise</v>
      </c>
      <c r="Q47" s="27" t="str">
        <f aca="false">IFERROR(INDEX(W1_WYBOR!$P$6:$P$80,MATCH($L47,W1_WYBOR!$A$6:$A$80,0)),"")</f>
        <v>DOPRECYZOWANIE</v>
      </c>
      <c r="R47" s="26"/>
      <c r="S47" s="26" t="str">
        <f aca="false">IFERROR(INDEX(W1_WYBOR!$V$6:$V$80,MATCH($L47,W1_WYBOR!$A$6:$A$80,0)),"")</f>
        <v>Zaimplementowane: repozytorium FHIR z trzema zapleczami (lokalne, Medplum przez SDK, dowolny FHIR R4); rezerwacja z If-Match</v>
      </c>
    </row>
    <row r="48" customFormat="false" ht="25.5" hidden="false" customHeight="true" outlineLevel="0" collapsed="false">
      <c r="A48" s="24" t="s">
        <v>1457</v>
      </c>
      <c r="B48" s="26" t="s">
        <v>1458</v>
      </c>
      <c r="C48" s="26" t="s">
        <v>1304</v>
      </c>
      <c r="D48" s="26" t="s">
        <v>1305</v>
      </c>
      <c r="E48" s="27" t="s">
        <v>1306</v>
      </c>
      <c r="F48" s="27" t="s">
        <v>1307</v>
      </c>
      <c r="G48" s="27" t="n">
        <v>3</v>
      </c>
      <c r="H48" s="26" t="s">
        <v>1459</v>
      </c>
      <c r="I48" s="27" t="s">
        <v>1309</v>
      </c>
      <c r="J48" s="26" t="s">
        <v>1121</v>
      </c>
      <c r="K48" s="26" t="s">
        <v>151</v>
      </c>
      <c r="L48" s="24" t="s">
        <v>1119</v>
      </c>
      <c r="M48" s="26" t="str">
        <f aca="false">IFERROR(INDEX(W1_WYBOR!$B$6:$B$80,MATCH($L48,W1_WYBOR!$A$6:$A$80,0)),"")</f>
        <v>Funkcja własna na wspólnych komponentach (W2)</v>
      </c>
      <c r="N48" s="26" t="str">
        <f aca="false">IFERROR(INDEX(W1_WYBOR!$F$6:$F$80,MATCH($L48,W1_WYBOR!$A$6:$A$80,0)),"")</f>
        <v>WŁASNE na komponentach z W2</v>
      </c>
      <c r="O48" s="28" t="str">
        <f aca="false">IFERROR(INDEX(W1_WYBOR!$L$6:$L$80,MATCH($L48,W1_WYBOR!$A$6:$A$80,0)),"")</f>
        <v>Budujemy w aplikacji Eternal na komponentach W2</v>
      </c>
      <c r="P48" s="28" t="str">
        <f aca="false">IFERROR(INDEX(W1_WYBOR!$M$6:$M$80,MATCH($L48,W1_WYBOR!$A$6:$A$80,0)),"")</f>
        <v>Jak MVP</v>
      </c>
      <c r="Q48" s="27" t="str">
        <f aca="false">IFERROR(INDEX(W1_WYBOR!$P$6:$P$80,MATCH($L48,W1_WYBOR!$A$6:$A$80,0)),"")</f>
        <v>BEZ ZMIAN</v>
      </c>
      <c r="R48" s="26"/>
      <c r="S48" s="26" t="str">
        <f aca="false">IFERROR(INDEX(W1_WYBOR!$V$6:$V$80,MATCH($L48,W1_WYBOR!$A$6:$A$80,0)),"")</f>
        <v>Zob. kolumna uwag w W3</v>
      </c>
    </row>
    <row r="49" customFormat="false" ht="48.75" hidden="false" customHeight="true" outlineLevel="0" collapsed="false">
      <c r="A49" s="24" t="s">
        <v>1460</v>
      </c>
      <c r="B49" s="26" t="s">
        <v>1461</v>
      </c>
      <c r="C49" s="26" t="s">
        <v>1304</v>
      </c>
      <c r="D49" s="26" t="s">
        <v>1305</v>
      </c>
      <c r="E49" s="27" t="s">
        <v>1306</v>
      </c>
      <c r="F49" s="27" t="s">
        <v>1307</v>
      </c>
      <c r="G49" s="27" t="n">
        <v>3</v>
      </c>
      <c r="H49" s="26" t="s">
        <v>1459</v>
      </c>
      <c r="I49" s="27" t="s">
        <v>1309</v>
      </c>
      <c r="J49" s="26" t="s">
        <v>223</v>
      </c>
      <c r="K49" s="26" t="s">
        <v>1352</v>
      </c>
      <c r="L49" s="24" t="s">
        <v>221</v>
      </c>
      <c r="M49" s="26" t="str">
        <f aca="false">IFERROR(INDEX(W1_WYBOR!$B$6:$B$80,MATCH($L49,W1_WYBOR!$A$6:$A$80,0)),"")</f>
        <v>Rekord zdrowia — serwer FHIR R4</v>
      </c>
      <c r="N49" s="26" t="str">
        <f aca="false">IFERROR(INDEX(W1_WYBOR!$F$6:$F$80,MATCH($L49,W1_WYBOR!$A$6:$A$80,0)),"")</f>
        <v>BIERZEMY OPEN SOURCE + nasza warstwa</v>
      </c>
      <c r="O49" s="28" t="str">
        <f aca="false">IFERROR(INDEX(W1_WYBOR!$L$6:$L$80,MATCH($L49,W1_WYBOR!$A$6:$A$80,0)),"")</f>
        <v>Medplum na własnej infrastrukturze w UE (adapter gotowy, ten sam język co aplikacja)</v>
      </c>
      <c r="P49" s="28" t="str">
        <f aca="false">IFERROR(INDEX(W1_WYBOR!$M$6:$M$80,MATCH($L49,W1_WYBOR!$A$6:$A$80,0)),"")</f>
        <v>Medplum w wysokiej dostępności (zarządzany PostgreSQL); opcjonalnie wsparcie Enterprise</v>
      </c>
      <c r="Q49" s="27" t="str">
        <f aca="false">IFERROR(INDEX(W1_WYBOR!$P$6:$P$80,MATCH($L49,W1_WYBOR!$A$6:$A$80,0)),"")</f>
        <v>DOPRECYZOWANIE</v>
      </c>
      <c r="R49" s="26"/>
      <c r="S49" s="26" t="str">
        <f aca="false">IFERROR(INDEX(W1_WYBOR!$V$6:$V$80,MATCH($L49,W1_WYBOR!$A$6:$A$80,0)),"")</f>
        <v>Zaimplementowane: repozytorium FHIR z trzema zapleczami (lokalne, Medplum przez SDK, dowolny FHIR R4); rezerwacja z If-Match</v>
      </c>
    </row>
    <row r="50" customFormat="false" ht="25.5" hidden="false" customHeight="true" outlineLevel="0" collapsed="false">
      <c r="A50" s="24" t="s">
        <v>1462</v>
      </c>
      <c r="B50" s="26" t="s">
        <v>1463</v>
      </c>
      <c r="C50" s="26" t="s">
        <v>1304</v>
      </c>
      <c r="D50" s="26" t="s">
        <v>1305</v>
      </c>
      <c r="E50" s="27" t="s">
        <v>1306</v>
      </c>
      <c r="F50" s="27" t="s">
        <v>1307</v>
      </c>
      <c r="G50" s="27" t="n">
        <v>3</v>
      </c>
      <c r="H50" s="26" t="s">
        <v>1459</v>
      </c>
      <c r="I50" s="27" t="s">
        <v>1309</v>
      </c>
      <c r="J50" s="26" t="s">
        <v>1121</v>
      </c>
      <c r="K50" s="26" t="s">
        <v>151</v>
      </c>
      <c r="L50" s="24" t="s">
        <v>1119</v>
      </c>
      <c r="M50" s="26" t="str">
        <f aca="false">IFERROR(INDEX(W1_WYBOR!$B$6:$B$80,MATCH($L50,W1_WYBOR!$A$6:$A$80,0)),"")</f>
        <v>Funkcja własna na wspólnych komponentach (W2)</v>
      </c>
      <c r="N50" s="26" t="str">
        <f aca="false">IFERROR(INDEX(W1_WYBOR!$F$6:$F$80,MATCH($L50,W1_WYBOR!$A$6:$A$80,0)),"")</f>
        <v>WŁASNE na komponentach z W2</v>
      </c>
      <c r="O50" s="28" t="str">
        <f aca="false">IFERROR(INDEX(W1_WYBOR!$L$6:$L$80,MATCH($L50,W1_WYBOR!$A$6:$A$80,0)),"")</f>
        <v>Budujemy w aplikacji Eternal na komponentach W2</v>
      </c>
      <c r="P50" s="28" t="str">
        <f aca="false">IFERROR(INDEX(W1_WYBOR!$M$6:$M$80,MATCH($L50,W1_WYBOR!$A$6:$A$80,0)),"")</f>
        <v>Jak MVP</v>
      </c>
      <c r="Q50" s="27" t="str">
        <f aca="false">IFERROR(INDEX(W1_WYBOR!$P$6:$P$80,MATCH($L50,W1_WYBOR!$A$6:$A$80,0)),"")</f>
        <v>BEZ ZMIAN</v>
      </c>
      <c r="R50" s="26"/>
      <c r="S50" s="26" t="str">
        <f aca="false">IFERROR(INDEX(W1_WYBOR!$V$6:$V$80,MATCH($L50,W1_WYBOR!$A$6:$A$80,0)),"")</f>
        <v>Zob. kolumna uwag w W3</v>
      </c>
    </row>
    <row r="51" customFormat="false" ht="25.5" hidden="false" customHeight="true" outlineLevel="0" collapsed="false">
      <c r="A51" s="24" t="s">
        <v>1464</v>
      </c>
      <c r="B51" s="26" t="s">
        <v>1465</v>
      </c>
      <c r="C51" s="26" t="s">
        <v>1304</v>
      </c>
      <c r="D51" s="26" t="s">
        <v>1305</v>
      </c>
      <c r="E51" s="27" t="s">
        <v>1306</v>
      </c>
      <c r="F51" s="27" t="s">
        <v>1307</v>
      </c>
      <c r="G51" s="27" t="n">
        <v>3</v>
      </c>
      <c r="H51" s="26" t="s">
        <v>1459</v>
      </c>
      <c r="I51" s="27" t="s">
        <v>1309</v>
      </c>
      <c r="J51" s="26" t="s">
        <v>1121</v>
      </c>
      <c r="K51" s="26" t="s">
        <v>151</v>
      </c>
      <c r="L51" s="24" t="s">
        <v>1119</v>
      </c>
      <c r="M51" s="26" t="str">
        <f aca="false">IFERROR(INDEX(W1_WYBOR!$B$6:$B$80,MATCH($L51,W1_WYBOR!$A$6:$A$80,0)),"")</f>
        <v>Funkcja własna na wspólnych komponentach (W2)</v>
      </c>
      <c r="N51" s="26" t="str">
        <f aca="false">IFERROR(INDEX(W1_WYBOR!$F$6:$F$80,MATCH($L51,W1_WYBOR!$A$6:$A$80,0)),"")</f>
        <v>WŁASNE na komponentach z W2</v>
      </c>
      <c r="O51" s="28" t="str">
        <f aca="false">IFERROR(INDEX(W1_WYBOR!$L$6:$L$80,MATCH($L51,W1_WYBOR!$A$6:$A$80,0)),"")</f>
        <v>Budujemy w aplikacji Eternal na komponentach W2</v>
      </c>
      <c r="P51" s="28" t="str">
        <f aca="false">IFERROR(INDEX(W1_WYBOR!$M$6:$M$80,MATCH($L51,W1_WYBOR!$A$6:$A$80,0)),"")</f>
        <v>Jak MVP</v>
      </c>
      <c r="Q51" s="27" t="str">
        <f aca="false">IFERROR(INDEX(W1_WYBOR!$P$6:$P$80,MATCH($L51,W1_WYBOR!$A$6:$A$80,0)),"")</f>
        <v>BEZ ZMIAN</v>
      </c>
      <c r="R51" s="26"/>
      <c r="S51" s="26" t="str">
        <f aca="false">IFERROR(INDEX(W1_WYBOR!$V$6:$V$80,MATCH($L51,W1_WYBOR!$A$6:$A$80,0)),"")</f>
        <v>Zob. kolumna uwag w W3</v>
      </c>
    </row>
    <row r="52" customFormat="false" ht="25.5" hidden="false" customHeight="true" outlineLevel="0" collapsed="false">
      <c r="A52" s="24" t="s">
        <v>1466</v>
      </c>
      <c r="B52" s="26" t="s">
        <v>1467</v>
      </c>
      <c r="C52" s="26" t="s">
        <v>1304</v>
      </c>
      <c r="D52" s="26" t="s">
        <v>1305</v>
      </c>
      <c r="E52" s="27" t="s">
        <v>1306</v>
      </c>
      <c r="F52" s="27" t="s">
        <v>1307</v>
      </c>
      <c r="G52" s="27" t="n">
        <v>3</v>
      </c>
      <c r="H52" s="26" t="s">
        <v>1459</v>
      </c>
      <c r="I52" s="27" t="s">
        <v>1309</v>
      </c>
      <c r="J52" s="26" t="s">
        <v>1121</v>
      </c>
      <c r="K52" s="26" t="s">
        <v>151</v>
      </c>
      <c r="L52" s="24" t="s">
        <v>1119</v>
      </c>
      <c r="M52" s="26" t="str">
        <f aca="false">IFERROR(INDEX(W1_WYBOR!$B$6:$B$80,MATCH($L52,W1_WYBOR!$A$6:$A$80,0)),"")</f>
        <v>Funkcja własna na wspólnych komponentach (W2)</v>
      </c>
      <c r="N52" s="26" t="str">
        <f aca="false">IFERROR(INDEX(W1_WYBOR!$F$6:$F$80,MATCH($L52,W1_WYBOR!$A$6:$A$80,0)),"")</f>
        <v>WŁASNE na komponentach z W2</v>
      </c>
      <c r="O52" s="28" t="str">
        <f aca="false">IFERROR(INDEX(W1_WYBOR!$L$6:$L$80,MATCH($L52,W1_WYBOR!$A$6:$A$80,0)),"")</f>
        <v>Budujemy w aplikacji Eternal na komponentach W2</v>
      </c>
      <c r="P52" s="28" t="str">
        <f aca="false">IFERROR(INDEX(W1_WYBOR!$M$6:$M$80,MATCH($L52,W1_WYBOR!$A$6:$A$80,0)),"")</f>
        <v>Jak MVP</v>
      </c>
      <c r="Q52" s="27" t="str">
        <f aca="false">IFERROR(INDEX(W1_WYBOR!$P$6:$P$80,MATCH($L52,W1_WYBOR!$A$6:$A$80,0)),"")</f>
        <v>BEZ ZMIAN</v>
      </c>
      <c r="R52" s="26"/>
      <c r="S52" s="26" t="str">
        <f aca="false">IFERROR(INDEX(W1_WYBOR!$V$6:$V$80,MATCH($L52,W1_WYBOR!$A$6:$A$80,0)),"")</f>
        <v>Zob. kolumna uwag w W3</v>
      </c>
    </row>
    <row r="53" customFormat="false" ht="37.5" hidden="false" customHeight="true" outlineLevel="0" collapsed="false">
      <c r="A53" s="24" t="s">
        <v>1468</v>
      </c>
      <c r="B53" s="26" t="s">
        <v>1469</v>
      </c>
      <c r="C53" s="26" t="s">
        <v>1304</v>
      </c>
      <c r="D53" s="26" t="s">
        <v>1305</v>
      </c>
      <c r="E53" s="27" t="s">
        <v>1306</v>
      </c>
      <c r="F53" s="27" t="s">
        <v>1307</v>
      </c>
      <c r="G53" s="27" t="n">
        <v>3</v>
      </c>
      <c r="H53" s="26" t="s">
        <v>1459</v>
      </c>
      <c r="I53" s="27" t="s">
        <v>1309</v>
      </c>
      <c r="J53" s="26" t="s">
        <v>358</v>
      </c>
      <c r="K53" s="26" t="s">
        <v>1470</v>
      </c>
      <c r="L53" s="24" t="s">
        <v>356</v>
      </c>
      <c r="M53" s="26" t="str">
        <f aca="false">IFERROR(INDEX(W1_WYBOR!$B$6:$B$80,MATCH($L53,W1_WYBOR!$A$6:$A$80,0)),"")</f>
        <v>Dane zdrowotne z telefonu (Apple Zdrowie, Health Connect)</v>
      </c>
      <c r="N53" s="26" t="str">
        <f aca="false">IFERROR(INDEX(W1_WYBOR!$F$6:$F$80,MATCH($L53,W1_WYBOR!$A$6:$A$80,0)),"")</f>
        <v>SYSTEM + biblioteki open source</v>
      </c>
      <c r="O53" s="28" t="str">
        <f aca="false">IFERROR(INDEX(W1_WYBOR!$L$6:$L$80,MATCH($L53,W1_WYBOR!$A$6:$A$80,0)),"")</f>
        <v>Aplikacja mobilna React Native/Expo z HealthKit i Health Connect (biblioteki MIT); synchronizacja w tle</v>
      </c>
      <c r="P53" s="28" t="str">
        <f aca="false">IFERROR(INDEX(W1_WYBOR!$M$6:$M$80,MATCH($L53,W1_WYBOR!$A$6:$A$80,0)),"")</f>
        <v>+ Samsung Health Data SDK</v>
      </c>
      <c r="Q53" s="27" t="str">
        <f aca="false">IFERROR(INDEX(W1_WYBOR!$P$6:$P$80,MATCH($L53,W1_WYBOR!$A$6:$A$80,0)),"")</f>
        <v>DOPRECYZOWANIE</v>
      </c>
      <c r="R53" s="26"/>
      <c r="S53" s="26" t="str">
        <f aca="false">IFERROR(INDEX(W1_WYBOR!$V$6:$V$80,MATCH($L53,W1_WYBOR!$A$6:$A$80,0)),"")</f>
        <v>Brak — obecnie PWA; jest Web Bluetooth (Chrome/Edge) i Withings</v>
      </c>
    </row>
    <row r="54" customFormat="false" ht="37.5" hidden="false" customHeight="true" outlineLevel="0" collapsed="false">
      <c r="A54" s="24" t="s">
        <v>1471</v>
      </c>
      <c r="B54" s="26" t="s">
        <v>1472</v>
      </c>
      <c r="C54" s="26" t="s">
        <v>1304</v>
      </c>
      <c r="D54" s="26" t="s">
        <v>1305</v>
      </c>
      <c r="E54" s="27" t="s">
        <v>1306</v>
      </c>
      <c r="F54" s="27" t="s">
        <v>1307</v>
      </c>
      <c r="G54" s="27" t="n">
        <v>3</v>
      </c>
      <c r="H54" s="26" t="s">
        <v>1459</v>
      </c>
      <c r="I54" s="27" t="s">
        <v>1473</v>
      </c>
      <c r="J54" s="26" t="s">
        <v>418</v>
      </c>
      <c r="K54" s="26" t="s">
        <v>1474</v>
      </c>
      <c r="L54" s="24" t="s">
        <v>416</v>
      </c>
      <c r="M54" s="26" t="str">
        <f aca="false">IFERROR(INDEX(W1_WYBOR!$B$6:$B$80,MATCH($L54,W1_WYBOR!$A$6:$A$80,0)),"")</f>
        <v>Platforma zdalnego monitoringu (RPM)</v>
      </c>
      <c r="N54" s="26" t="str">
        <f aca="false">IFERROR(INDEX(W1_WYBOR!$F$6:$F$80,MATCH($L54,W1_WYBOR!$A$6:$A$80,0)),"")</f>
        <v>POŚREDNICTWO PARTNERA + nasz punkt odbioru</v>
      </c>
      <c r="O54" s="28" t="str">
        <f aca="false">IFERROR(INDEX(W1_WYBOR!$L$6:$L$80,MATCH($L54,W1_WYBOR!$A$6:$A$80,0)),"")</f>
        <v>Nasz punkt odbioru (gotowy) + Vitalera tam, gdzie placówka prowadzi program RPM</v>
      </c>
      <c r="P54" s="28" t="str">
        <f aca="false">IFERROR(INDEX(W1_WYBOR!$M$6:$M$80,MATCH($L54,W1_WYBOR!$A$6:$A$80,0)),"")</f>
        <v>Vitalera / Withings Health Solutions jako dostawcy zestawów; progi ustawia lekarz (moduł z CE)</v>
      </c>
      <c r="Q54" s="27" t="str">
        <f aca="false">IFERROR(INDEX(W1_WYBOR!$P$6:$P$80,MATCH($L54,W1_WYBOR!$A$6:$A$80,0)),"")</f>
        <v>DOPRECYZOWANIE</v>
      </c>
      <c r="R54" s="26" t="s">
        <v>1475</v>
      </c>
      <c r="S54" s="26" t="str">
        <f aca="false">IFERROR(INDEX(W1_WYBOR!$V$6:$V$80,MATCH($L54,W1_WYBOR!$A$6:$A$80,0)),"")</f>
        <v>Zaimplementowane: odbiór pomiarów z podpisem HMAC, deduplikacja, mapowanie LOINC</v>
      </c>
    </row>
    <row r="55" customFormat="false" ht="37.5" hidden="false" customHeight="true" outlineLevel="0" collapsed="false">
      <c r="A55" s="24" t="s">
        <v>1476</v>
      </c>
      <c r="B55" s="26" t="s">
        <v>1477</v>
      </c>
      <c r="C55" s="26" t="s">
        <v>1304</v>
      </c>
      <c r="D55" s="26" t="s">
        <v>1305</v>
      </c>
      <c r="E55" s="27" t="s">
        <v>1306</v>
      </c>
      <c r="F55" s="27" t="s">
        <v>1307</v>
      </c>
      <c r="G55" s="27" t="n">
        <v>3</v>
      </c>
      <c r="H55" s="26" t="s">
        <v>1459</v>
      </c>
      <c r="I55" s="27" t="s">
        <v>1309</v>
      </c>
      <c r="J55" s="26" t="s">
        <v>242</v>
      </c>
      <c r="K55" s="26" t="s">
        <v>1478</v>
      </c>
      <c r="L55" s="24" t="s">
        <v>240</v>
      </c>
      <c r="M55" s="26" t="str">
        <f aca="false">IFERROR(INDEX(W1_WYBOR!$B$6:$B$80,MATCH($L55,W1_WYBOR!$A$6:$A$80,0)),"")</f>
        <v>Chmura, baza i magazyn plików w UE</v>
      </c>
      <c r="N55" s="26" t="str">
        <f aca="false">IFERROR(INDEX(W1_WYBOR!$F$6:$F$80,MATCH($L55,W1_WYBOR!$A$6:$A$80,0)),"")</f>
        <v>KUPUJEMY USŁUGĘ (przenośnie)</v>
      </c>
      <c r="O55" s="28" t="str">
        <f aca="false">IFERROR(INDEX(W1_WYBOR!$L$6:$L$80,MATCH($L55,W1_WYBOR!$A$6:$A$80,0)),"")</f>
        <v>AWS region UE (Frankfurt): zarządzany PostgreSQL, S3 z Object Lock, KMS — w jednym koncie z Bedrock; wszystko w kontenerach</v>
      </c>
      <c r="P55" s="28" t="str">
        <f aca="false">IFERROR(INDEX(W1_WYBOR!$M$6:$M$80,MATCH($L55,W1_WYBOR!$A$6:$A$80,0)),"")</f>
        <v>Jak MVP + kopia zapasowa u drugiego dostawcy z UE (OVHcloud)</v>
      </c>
      <c r="Q55" s="27" t="str">
        <f aca="false">IFERROR(INDEX(W1_WYBOR!$P$6:$P$80,MATCH($L55,W1_WYBOR!$A$6:$A$80,0)),"")</f>
        <v>DOPRECYZOWANIE</v>
      </c>
      <c r="R55" s="26" t="s">
        <v>1479</v>
      </c>
      <c r="S55" s="26" t="str">
        <f aca="false">IFERROR(INDEX(W1_WYBOR!$V$6:$V$80,MATCH($L55,W1_WYBOR!$A$6:$A$80,0)),"")</f>
        <v>Gotowe obrazy Docker i docker-compose (Caddy); niezależne od dostawcy</v>
      </c>
    </row>
    <row r="56" customFormat="false" ht="37.5" hidden="false" customHeight="true" outlineLevel="0" collapsed="false">
      <c r="A56" s="24" t="s">
        <v>1480</v>
      </c>
      <c r="B56" s="26" t="s">
        <v>1481</v>
      </c>
      <c r="C56" s="26" t="s">
        <v>1304</v>
      </c>
      <c r="D56" s="26" t="s">
        <v>1482</v>
      </c>
      <c r="E56" s="27" t="s">
        <v>1306</v>
      </c>
      <c r="F56" s="27" t="s">
        <v>1394</v>
      </c>
      <c r="G56" s="27" t="n">
        <v>19</v>
      </c>
      <c r="H56" s="26" t="s">
        <v>1395</v>
      </c>
      <c r="I56" s="27" t="s">
        <v>1309</v>
      </c>
      <c r="J56" s="26" t="s">
        <v>1483</v>
      </c>
      <c r="K56" s="26" t="s">
        <v>1484</v>
      </c>
      <c r="L56" s="24" t="s">
        <v>1106</v>
      </c>
      <c r="M56" s="26" t="str">
        <f aca="false">IFERROR(INDEX(W1_WYBOR!$B$6:$B$80,MATCH($L56,W1_WYBOR!$A$6:$A$80,0)),"")</f>
        <v>Funkcja systemu telefonu, przeglądarki lub urządzenia (nie kupujemy)</v>
      </c>
      <c r="N56" s="26" t="str">
        <f aca="false">IFERROR(INDEX(W1_WYBOR!$F$6:$F$80,MATCH($L56,W1_WYBOR!$A$6:$A$80,0)),"")</f>
        <v>SYSTEM</v>
      </c>
      <c r="O56" s="28" t="str">
        <f aca="false">IFERROR(INDEX(W1_WYBOR!$L$6:$L$80,MATCH($L56,W1_WYBOR!$A$6:$A$80,0)),"")</f>
        <v>Funkcja systemu + nasza obsługa w aplikacji</v>
      </c>
      <c r="P56" s="28" t="str">
        <f aca="false">IFERROR(INDEX(W1_WYBOR!$M$6:$M$80,MATCH($L56,W1_WYBOR!$A$6:$A$80,0)),"")</f>
        <v>Jak MVP</v>
      </c>
      <c r="Q56" s="27" t="str">
        <f aca="false">IFERROR(INDEX(W1_WYBOR!$P$6:$P$80,MATCH($L56,W1_WYBOR!$A$6:$A$80,0)),"")</f>
        <v>BEZ ZMIAN</v>
      </c>
      <c r="R56" s="26"/>
      <c r="S56" s="26" t="str">
        <f aca="false">IFERROR(INDEX(W1_WYBOR!$V$6:$V$80,MATCH($L56,W1_WYBOR!$A$6:$A$80,0)),"")</f>
        <v>Częściowo (PWA); pełny dostęp w aplikacji mobilnej</v>
      </c>
    </row>
    <row r="57" customFormat="false" ht="37.5" hidden="false" customHeight="true" outlineLevel="0" collapsed="false">
      <c r="A57" s="24" t="s">
        <v>1485</v>
      </c>
      <c r="B57" s="26" t="s">
        <v>1486</v>
      </c>
      <c r="C57" s="26" t="s">
        <v>1304</v>
      </c>
      <c r="D57" s="26" t="s">
        <v>1482</v>
      </c>
      <c r="E57" s="27" t="s">
        <v>1306</v>
      </c>
      <c r="F57" s="27" t="s">
        <v>1394</v>
      </c>
      <c r="G57" s="27" t="n">
        <v>19</v>
      </c>
      <c r="H57" s="26" t="s">
        <v>1395</v>
      </c>
      <c r="I57" s="27" t="s">
        <v>1309</v>
      </c>
      <c r="J57" s="26" t="s">
        <v>526</v>
      </c>
      <c r="K57" s="26" t="s">
        <v>1487</v>
      </c>
      <c r="L57" s="24" t="s">
        <v>524</v>
      </c>
      <c r="M57" s="26" t="str">
        <f aca="false">IFERROR(INDEX(W1_WYBOR!$B$6:$B$80,MATCH($L57,W1_WYBOR!$A$6:$A$80,0)),"")</f>
        <v>Mowa na tekst (transkrypcja)</v>
      </c>
      <c r="N57" s="26" t="str">
        <f aca="false">IFERROR(INDEX(W1_WYBOR!$F$6:$F$80,MATCH($L57,W1_WYBOR!$A$6:$A$80,0)),"")</f>
        <v>KUPUJEMY USŁUGĘ → model otwarty przy skali</v>
      </c>
      <c r="O57" s="28" t="str">
        <f aca="false">IFERROR(INDEX(W1_WYBOR!$L$6:$L$80,MATCH($L57,W1_WYBOR!$A$6:$A$80,0)),"")</f>
        <v>ElevenLabs Scribe v2 w rezydencji UE, bez przechowywania (umowa enterprise + powierzenie); zapas: Whisper large-v3 na GPU w UE</v>
      </c>
      <c r="P57" s="28" t="str">
        <f aca="false">IFERROR(INDEX(W1_WYBOR!$M$6:$M$80,MATCH($L57,W1_WYBOR!$A$6:$A$80,0)),"")</f>
        <v>Test porównawczy na naszym zbiorze (ElevenLabs, Soniox, Speechmatics, Whisper) i wybór per koszt</v>
      </c>
      <c r="Q57" s="27" t="str">
        <f aca="false">IFERROR(INDEX(W1_WYBOR!$P$6:$P$80,MATCH($L57,W1_WYBOR!$A$6:$A$80,0)),"")</f>
        <v>ZMIANA</v>
      </c>
      <c r="R57" s="26" t="s">
        <v>1488</v>
      </c>
      <c r="S57" s="26" t="str">
        <f aca="false">IFERROR(INDEX(W1_WYBOR!$V$6:$V$80,MATCH($L57,W1_WYBOR!$A$6:$A$80,0)),"")</f>
        <v>Brak</v>
      </c>
    </row>
    <row r="58" customFormat="false" ht="48.75" hidden="false" customHeight="true" outlineLevel="0" collapsed="false">
      <c r="A58" s="24" t="s">
        <v>1489</v>
      </c>
      <c r="B58" s="26" t="s">
        <v>1490</v>
      </c>
      <c r="C58" s="26" t="s">
        <v>1304</v>
      </c>
      <c r="D58" s="26" t="s">
        <v>1482</v>
      </c>
      <c r="E58" s="27" t="s">
        <v>1306</v>
      </c>
      <c r="F58" s="27" t="s">
        <v>1386</v>
      </c>
      <c r="G58" s="27" t="n">
        <v>20</v>
      </c>
      <c r="H58" s="26" t="s">
        <v>1491</v>
      </c>
      <c r="I58" s="27" t="s">
        <v>1309</v>
      </c>
      <c r="J58" s="26" t="s">
        <v>561</v>
      </c>
      <c r="K58" s="26" t="s">
        <v>1492</v>
      </c>
      <c r="L58" s="24" t="s">
        <v>559</v>
      </c>
      <c r="M58" s="26" t="str">
        <f aca="false">IFERROR(INDEX(W1_WYBOR!$B$6:$B$80,MATCH($L58,W1_WYBOR!$A$6:$A$80,0)),"")</f>
        <v>Ankiety i formularze (FHIR Questionnaire)</v>
      </c>
      <c r="N58" s="26" t="str">
        <f aca="false">IFERROR(INDEX(W1_WYBOR!$F$6:$F$80,MATCH($L58,W1_WYBOR!$A$6:$A$80,0)),"")</f>
        <v>OPEN SOURCE w aplikacji</v>
      </c>
      <c r="O58" s="28" t="str">
        <f aca="false">IFERROR(INDEX(W1_WYBOR!$L$6:$L$80,MATCH($L58,W1_WYBOR!$A$6:$A$80,0)),"")</f>
        <v>FHIR Questionnaire + nasz renderer (gotowy); LHC-Forms/Smart Forms dla formularzy złożonych</v>
      </c>
      <c r="P58" s="28" t="str">
        <f aca="false">IFERROR(INDEX(W1_WYBOR!$M$6:$M$80,MATCH($L58,W1_WYBOR!$A$6:$A$80,0)),"")</f>
        <v>Jak MVP</v>
      </c>
      <c r="Q58" s="27" t="str">
        <f aca="false">IFERROR(INDEX(W1_WYBOR!$P$6:$P$80,MATCH($L58,W1_WYBOR!$A$6:$A$80,0)),"")</f>
        <v>BEZ ZMIAN</v>
      </c>
      <c r="R58" s="26"/>
      <c r="S58" s="26" t="str">
        <f aca="false">IFERROR(INDEX(W1_WYBOR!$V$6:$V$80,MATCH($L58,W1_WYBOR!$A$6:$A$80,0)),"")</f>
        <v>Zaimplementowane: ankiety przed wizytą (Questionnaire/QuestionnaireResponse), poprawki</v>
      </c>
    </row>
    <row r="59" customFormat="false" ht="25.5" hidden="false" customHeight="true" outlineLevel="0" collapsed="false">
      <c r="A59" s="24" t="s">
        <v>1493</v>
      </c>
      <c r="B59" s="26" t="s">
        <v>1494</v>
      </c>
      <c r="C59" s="26" t="s">
        <v>1304</v>
      </c>
      <c r="D59" s="26" t="s">
        <v>1482</v>
      </c>
      <c r="E59" s="27" t="s">
        <v>1306</v>
      </c>
      <c r="F59" s="27" t="s">
        <v>1386</v>
      </c>
      <c r="G59" s="27" t="n">
        <v>20</v>
      </c>
      <c r="H59" s="26" t="s">
        <v>1491</v>
      </c>
      <c r="I59" s="27" t="s">
        <v>1309</v>
      </c>
      <c r="J59" s="26" t="s">
        <v>574</v>
      </c>
      <c r="K59" s="26" t="s">
        <v>1495</v>
      </c>
      <c r="L59" s="24" t="s">
        <v>572</v>
      </c>
      <c r="M59" s="26" t="str">
        <f aca="false">IFERROR(INDEX(W1_WYBOR!$B$6:$B$80,MATCH($L59,W1_WYBOR!$A$6:$A$80,0)),"")</f>
        <v>Wywiad objawowy i triaż (wyrób medyczny partnera)</v>
      </c>
      <c r="N59" s="26" t="str">
        <f aca="false">IFERROR(INDEX(W1_WYBOR!$F$6:$F$80,MATCH($L59,W1_WYBOR!$A$6:$A$80,0)),"")</f>
        <v>POŚREDNICTWO PARTNERA (CE)</v>
      </c>
      <c r="O59" s="28" t="str">
        <f aca="false">IFERROR(INDEX(W1_WYBOR!$L$6:$L$80,MATCH($L59,W1_WYBOR!$A$6:$A$80,0)),"")</f>
        <v>Ankieta przed wizytą bez oceny; Infermedica tylko dla placówek, które kupią moduł</v>
      </c>
      <c r="P59" s="28" t="str">
        <f aca="false">IFERROR(INDEX(W1_WYBOR!$M$6:$M$80,MATCH($L59,W1_WYBOR!$A$6:$A$80,0)),"")</f>
        <v>Infermedica w pakiecie „Dodatek med” / Klinika</v>
      </c>
      <c r="Q59" s="27" t="str">
        <f aca="false">IFERROR(INDEX(W1_WYBOR!$P$6:$P$80,MATCH($L59,W1_WYBOR!$A$6:$A$80,0)),"")</f>
        <v>DOPRECYZOWANIE</v>
      </c>
      <c r="R59" s="26" t="s">
        <v>1496</v>
      </c>
      <c r="S59" s="26" t="str">
        <f aca="false">IFERROR(INDEX(W1_WYBOR!$V$6:$V$80,MATCH($L59,W1_WYBOR!$A$6:$A$80,0)),"")</f>
        <v>Zaimplementowane: ankieta przed wizytą bez oceny</v>
      </c>
    </row>
    <row r="60" customFormat="false" ht="37.5" hidden="false" customHeight="true" outlineLevel="0" collapsed="false">
      <c r="A60" s="24" t="s">
        <v>1497</v>
      </c>
      <c r="B60" s="26" t="s">
        <v>1498</v>
      </c>
      <c r="C60" s="26" t="s">
        <v>1304</v>
      </c>
      <c r="D60" s="26" t="s">
        <v>1482</v>
      </c>
      <c r="E60" s="27" t="s">
        <v>1306</v>
      </c>
      <c r="F60" s="27" t="s">
        <v>1394</v>
      </c>
      <c r="G60" s="27" t="n">
        <v>19</v>
      </c>
      <c r="H60" s="26" t="s">
        <v>1395</v>
      </c>
      <c r="I60" s="27" t="s">
        <v>1309</v>
      </c>
      <c r="J60" s="26" t="s">
        <v>545</v>
      </c>
      <c r="K60" s="26" t="s">
        <v>1396</v>
      </c>
      <c r="L60" s="24" t="s">
        <v>543</v>
      </c>
      <c r="M60" s="26" t="str">
        <f aca="false">IFERROR(INDEX(W1_WYBOR!$B$6:$B$80,MATCH($L60,W1_WYBOR!$A$6:$A$80,0)),"")</f>
        <v>Scribe — notatka z wizyty</v>
      </c>
      <c r="N60" s="26" t="str">
        <f aca="false">IFERROR(INDEX(W1_WYBOR!$F$6:$F$80,MATCH($L60,W1_WYBOR!$A$6:$A$80,0)),"")</f>
        <v>WŁASNY PRZEBIEG na kupionych silnikach</v>
      </c>
      <c r="O60" s="28" t="str">
        <f aca="false">IFERROR(INDEX(W1_WYBOR!$L$6:$L$80,MATCH($L60,W1_WYBOR!$A$6:$A$80,0)),"")</f>
        <v>Przebieg własny: ElevenLabs Scribe (UE) + Claude (Bedrock UE) + polskie szablony; obowiązkowe zatwierdzenie lekarza</v>
      </c>
      <c r="P60" s="28" t="str">
        <f aca="false">IFERROR(INDEX(W1_WYBOR!$M$6:$M$80,MATCH($L60,W1_WYBOR!$A$6:$A$80,0)),"")</f>
        <v>Ponowny przegląd gotowych scribe — wybór, jeśli dodadzą polski z dokumentacją zgodności</v>
      </c>
      <c r="Q60" s="27" t="str">
        <f aca="false">IFERROR(INDEX(W1_WYBOR!$P$6:$P$80,MATCH($L60,W1_WYBOR!$A$6:$A$80,0)),"")</f>
        <v>ZMIANA</v>
      </c>
      <c r="R60" s="26" t="s">
        <v>1499</v>
      </c>
      <c r="S60" s="26" t="str">
        <f aca="false">IFERROR(INDEX(W1_WYBOR!$V$6:$V$80,MATCH($L60,W1_WYBOR!$A$6:$A$80,0)),"")</f>
        <v>Brak</v>
      </c>
    </row>
    <row r="61" customFormat="false" ht="48.75" hidden="false" customHeight="true" outlineLevel="0" collapsed="false">
      <c r="A61" s="24" t="s">
        <v>1500</v>
      </c>
      <c r="B61" s="26" t="s">
        <v>1501</v>
      </c>
      <c r="C61" s="26" t="s">
        <v>1304</v>
      </c>
      <c r="D61" s="26" t="s">
        <v>1482</v>
      </c>
      <c r="E61" s="27" t="s">
        <v>1306</v>
      </c>
      <c r="F61" s="27" t="s">
        <v>1386</v>
      </c>
      <c r="G61" s="27" t="n">
        <v>19</v>
      </c>
      <c r="H61" s="26" t="s">
        <v>1395</v>
      </c>
      <c r="I61" s="27" t="s">
        <v>1309</v>
      </c>
      <c r="J61" s="26" t="s">
        <v>611</v>
      </c>
      <c r="K61" s="26" t="s">
        <v>1361</v>
      </c>
      <c r="L61" s="24" t="s">
        <v>609</v>
      </c>
      <c r="M61" s="26" t="str">
        <f aca="false">IFERROR(INDEX(W1_WYBOR!$B$6:$B$80,MATCH($L61,W1_WYBOR!$A$6:$A$80,0)),"")</f>
        <v>Brama e-zdrowia (P1: e-recepta, e-skierowanie)</v>
      </c>
      <c r="N61" s="26" t="str">
        <f aca="false">IFERROR(INDEX(W1_WYBOR!$F$6:$F$80,MATCH($L61,W1_WYBOR!$A$6:$A$80,0)),"")</f>
        <v>POŚREDNICTWO przez system gabinetowy placówki</v>
      </c>
      <c r="O61" s="28" t="str">
        <f aca="false">IFERROR(INDEX(W1_WYBOR!$L$6:$L$80,MATCH($L61,W1_WYBOR!$A$6:$A$80,0)),"")</f>
        <v>E-recepty i e-skierowania wystawia lekarz w systemie gabinetowym placówki; Eternal pokazuje status i dokumenty; adaptery do API systemów, które je mają</v>
      </c>
      <c r="P61" s="28" t="str">
        <f aca="false">IFERROR(INDEX(W1_WYBOR!$M$6:$M$80,MATCH($L61,W1_WYBOR!$A$6:$A$80,0)),"")</f>
        <v>Konektor P1 (np. Pentacomp) dla placówek, gdy Eternal Doctor staje się systemem placówki</v>
      </c>
      <c r="Q61" s="27" t="str">
        <f aca="false">IFERROR(INDEX(W1_WYBOR!$P$6:$P$80,MATCH($L61,W1_WYBOR!$A$6:$A$80,0)),"")</f>
        <v>DOPRECYZOWANIE</v>
      </c>
      <c r="R61" s="26" t="s">
        <v>1502</v>
      </c>
      <c r="S61" s="26" t="str">
        <f aca="false">IFERROR(INDEX(W1_WYBOR!$V$6:$V$80,MATCH($L61,W1_WYBOR!$A$6:$A$80,0)),"")</f>
        <v>Brak (świadomie — opisane w INTEGRATIONS.md)</v>
      </c>
    </row>
    <row r="62" customFormat="false" ht="37.5" hidden="false" customHeight="true" outlineLevel="0" collapsed="false">
      <c r="A62" s="24" t="s">
        <v>1503</v>
      </c>
      <c r="B62" s="26" t="s">
        <v>1504</v>
      </c>
      <c r="C62" s="26" t="s">
        <v>1304</v>
      </c>
      <c r="D62" s="26" t="s">
        <v>1505</v>
      </c>
      <c r="E62" s="27" t="s">
        <v>1306</v>
      </c>
      <c r="F62" s="27" t="s">
        <v>1307</v>
      </c>
      <c r="G62" s="27" t="n">
        <v>4</v>
      </c>
      <c r="H62" s="26" t="s">
        <v>1333</v>
      </c>
      <c r="I62" s="27" t="s">
        <v>1371</v>
      </c>
      <c r="J62" s="26" t="s">
        <v>1334</v>
      </c>
      <c r="K62" s="26" t="s">
        <v>1335</v>
      </c>
      <c r="L62" s="24" t="s">
        <v>278</v>
      </c>
      <c r="M62" s="26" t="str">
        <f aca="false">IFERROR(INDEX(W1_WYBOR!$B$6:$B$80,MATCH($L62,W1_WYBOR!$A$6:$A$80,0)),"")</f>
        <v>Odczyt dokumentów i wyników (OCR + parser)</v>
      </c>
      <c r="N62" s="26" t="str">
        <f aca="false">IFERROR(INDEX(W1_WYBOR!$F$6:$F$80,MATCH($L62,W1_WYBOR!$A$6:$A$80,0)),"")</f>
        <v>HYBRYDA: kupiony silnik + własny parser polski</v>
      </c>
      <c r="O62" s="28" t="str">
        <f aca="false">IFERROR(INDEX(W1_WYBOR!$L$6:$L$80,MATCH($L62,W1_WYBOR!$A$6:$A$80,0)),"")</f>
        <v>Najpierw warstwa tekstowa PDF (0 zł), skany i zdjęcia → Mistral OCR 4; nasz parser 3–5 sieci laboratoriów; zatwierdzenie przez użytkownika</v>
      </c>
      <c r="P62" s="28" t="str">
        <f aca="false">IFERROR(INDEX(W1_WYBOR!$M$6:$M$80,MATCH($L62,W1_WYBOR!$A$6:$A$80,0)),"")</f>
        <v>Mistral OCR wsadowo + PaddleOCR/Docling u siebie dla prostych dokumentów</v>
      </c>
      <c r="Q62" s="27" t="str">
        <f aca="false">IFERROR(INDEX(W1_WYBOR!$P$6:$P$80,MATCH($L62,W1_WYBOR!$A$6:$A$80,0)),"")</f>
        <v>ZMIANA</v>
      </c>
      <c r="R62" s="26" t="s">
        <v>1357</v>
      </c>
      <c r="S62" s="26" t="str">
        <f aca="false">IFERROR(INDEX(W1_WYBOR!$V$6:$V$80,MATCH($L62,W1_WYBOR!$A$6:$A$80,0)),"")</f>
        <v>Częściowo: wgrywanie dokumentów; brak odczytu treści</v>
      </c>
    </row>
    <row r="63" customFormat="false" ht="37.5" hidden="false" customHeight="true" outlineLevel="0" collapsed="false">
      <c r="A63" s="24" t="s">
        <v>1506</v>
      </c>
      <c r="B63" s="26" t="s">
        <v>1507</v>
      </c>
      <c r="C63" s="26" t="s">
        <v>1304</v>
      </c>
      <c r="D63" s="26" t="s">
        <v>1508</v>
      </c>
      <c r="E63" s="27" t="s">
        <v>1306</v>
      </c>
      <c r="F63" s="27" t="s">
        <v>1386</v>
      </c>
      <c r="G63" s="27" t="n">
        <v>26</v>
      </c>
      <c r="H63" s="26" t="s">
        <v>1509</v>
      </c>
      <c r="I63" s="27" t="s">
        <v>1309</v>
      </c>
      <c r="J63" s="26" t="s">
        <v>659</v>
      </c>
      <c r="K63" s="26" t="s">
        <v>1510</v>
      </c>
      <c r="L63" s="24" t="s">
        <v>657</v>
      </c>
      <c r="M63" s="26" t="str">
        <f aca="false">IFERROR(INDEX(W1_WYBOR!$B$6:$B$80,MATCH($L63,W1_WYBOR!$A$6:$A$80,0)),"")</f>
        <v>Baza leków</v>
      </c>
      <c r="N63" s="26" t="str">
        <f aca="false">IFERROR(INDEX(W1_WYBOR!$F$6:$F$80,MATCH($L63,W1_WYBOR!$A$6:$A$80,0)),"")</f>
        <v>DANE PUBLICZNE + licencja dla interakcji</v>
      </c>
      <c r="O63" s="28" t="str">
        <f aca="false">IFERROR(INDEX(W1_WYBOR!$L$6:$L$80,MATCH($L63,W1_WYBOR!$A$6:$A$80,0)),"")</f>
        <v>RPL (lista, substancje, opakowania) — bez pokazywania interakcji</v>
      </c>
      <c r="P63" s="28" t="str">
        <f aca="false">IFERROR(INDEX(W1_WYBOR!$M$6:$M$80,MATCH($L63,W1_WYBOR!$A$6:$A$80,0)),"")</f>
        <v>Licencja BLOZ/Pharmindex dla interakcji w panelu lekarza (jeśli licencja i status wyrobu pozwalają)</v>
      </c>
      <c r="Q63" s="27" t="str">
        <f aca="false">IFERROR(INDEX(W1_WYBOR!$P$6:$P$80,MATCH($L63,W1_WYBOR!$A$6:$A$80,0)),"")</f>
        <v>BEZ ZMIAN</v>
      </c>
      <c r="R63" s="26"/>
      <c r="S63" s="26" t="str">
        <f aca="false">IFERROR(INDEX(W1_WYBOR!$V$6:$V$80,MATCH($L63,W1_WYBOR!$A$6:$A$80,0)),"")</f>
        <v>Zaimplementowane: import RPL i wyszukiwanie leków</v>
      </c>
    </row>
    <row r="64" customFormat="false" ht="25.5" hidden="false" customHeight="true" outlineLevel="0" collapsed="false">
      <c r="A64" s="24" t="s">
        <v>1511</v>
      </c>
      <c r="B64" s="26" t="s">
        <v>1512</v>
      </c>
      <c r="C64" s="26" t="s">
        <v>1304</v>
      </c>
      <c r="D64" s="26" t="s">
        <v>1508</v>
      </c>
      <c r="E64" s="27" t="s">
        <v>1306</v>
      </c>
      <c r="F64" s="27" t="s">
        <v>1386</v>
      </c>
      <c r="G64" s="27" t="n">
        <v>26</v>
      </c>
      <c r="H64" s="26" t="s">
        <v>1509</v>
      </c>
      <c r="I64" s="27" t="s">
        <v>1309</v>
      </c>
      <c r="J64" s="26" t="s">
        <v>1121</v>
      </c>
      <c r="K64" s="26" t="s">
        <v>151</v>
      </c>
      <c r="L64" s="24" t="s">
        <v>1119</v>
      </c>
      <c r="M64" s="26" t="str">
        <f aca="false">IFERROR(INDEX(W1_WYBOR!$B$6:$B$80,MATCH($L64,W1_WYBOR!$A$6:$A$80,0)),"")</f>
        <v>Funkcja własna na wspólnych komponentach (W2)</v>
      </c>
      <c r="N64" s="26" t="str">
        <f aca="false">IFERROR(INDEX(W1_WYBOR!$F$6:$F$80,MATCH($L64,W1_WYBOR!$A$6:$A$80,0)),"")</f>
        <v>WŁASNE na komponentach z W2</v>
      </c>
      <c r="O64" s="28" t="str">
        <f aca="false">IFERROR(INDEX(W1_WYBOR!$L$6:$L$80,MATCH($L64,W1_WYBOR!$A$6:$A$80,0)),"")</f>
        <v>Budujemy w aplikacji Eternal na komponentach W2</v>
      </c>
      <c r="P64" s="28" t="str">
        <f aca="false">IFERROR(INDEX(W1_WYBOR!$M$6:$M$80,MATCH($L64,W1_WYBOR!$A$6:$A$80,0)),"")</f>
        <v>Jak MVP</v>
      </c>
      <c r="Q64" s="27" t="str">
        <f aca="false">IFERROR(INDEX(W1_WYBOR!$P$6:$P$80,MATCH($L64,W1_WYBOR!$A$6:$A$80,0)),"")</f>
        <v>BEZ ZMIAN</v>
      </c>
      <c r="R64" s="26"/>
      <c r="S64" s="26" t="str">
        <f aca="false">IFERROR(INDEX(W1_WYBOR!$V$6:$V$80,MATCH($L64,W1_WYBOR!$A$6:$A$80,0)),"")</f>
        <v>Zob. kolumna uwag w W3</v>
      </c>
    </row>
    <row r="65" customFormat="false" ht="37.5" hidden="false" customHeight="true" outlineLevel="0" collapsed="false">
      <c r="A65" s="24" t="s">
        <v>1513</v>
      </c>
      <c r="B65" s="26" t="s">
        <v>1514</v>
      </c>
      <c r="C65" s="26" t="s">
        <v>1304</v>
      </c>
      <c r="D65" s="26" t="s">
        <v>1515</v>
      </c>
      <c r="E65" s="27" t="s">
        <v>1306</v>
      </c>
      <c r="F65" s="27" t="s">
        <v>1307</v>
      </c>
      <c r="G65" s="27" t="n">
        <v>29</v>
      </c>
      <c r="H65" s="26" t="s">
        <v>1516</v>
      </c>
      <c r="I65" s="27" t="s">
        <v>1309</v>
      </c>
      <c r="J65" s="26" t="s">
        <v>1121</v>
      </c>
      <c r="K65" s="26" t="s">
        <v>151</v>
      </c>
      <c r="L65" s="24" t="s">
        <v>1119</v>
      </c>
      <c r="M65" s="26" t="str">
        <f aca="false">IFERROR(INDEX(W1_WYBOR!$B$6:$B$80,MATCH($L65,W1_WYBOR!$A$6:$A$80,0)),"")</f>
        <v>Funkcja własna na wspólnych komponentach (W2)</v>
      </c>
      <c r="N65" s="26" t="str">
        <f aca="false">IFERROR(INDEX(W1_WYBOR!$F$6:$F$80,MATCH($L65,W1_WYBOR!$A$6:$A$80,0)),"")</f>
        <v>WŁASNE na komponentach z W2</v>
      </c>
      <c r="O65" s="28" t="str">
        <f aca="false">IFERROR(INDEX(W1_WYBOR!$L$6:$L$80,MATCH($L65,W1_WYBOR!$A$6:$A$80,0)),"")</f>
        <v>Budujemy w aplikacji Eternal na komponentach W2</v>
      </c>
      <c r="P65" s="28" t="str">
        <f aca="false">IFERROR(INDEX(W1_WYBOR!$M$6:$M$80,MATCH($L65,W1_WYBOR!$A$6:$A$80,0)),"")</f>
        <v>Jak MVP</v>
      </c>
      <c r="Q65" s="27" t="str">
        <f aca="false">IFERROR(INDEX(W1_WYBOR!$P$6:$P$80,MATCH($L65,W1_WYBOR!$A$6:$A$80,0)),"")</f>
        <v>BEZ ZMIAN</v>
      </c>
      <c r="R65" s="26" t="s">
        <v>1517</v>
      </c>
      <c r="S65" s="26" t="str">
        <f aca="false">IFERROR(INDEX(W1_WYBOR!$V$6:$V$80,MATCH($L65,W1_WYBOR!$A$6:$A$80,0)),"")</f>
        <v>Zob. kolumna uwag w W3</v>
      </c>
    </row>
    <row r="66" customFormat="false" ht="25.5" hidden="false" customHeight="true" outlineLevel="0" collapsed="false">
      <c r="A66" s="24" t="s">
        <v>1518</v>
      </c>
      <c r="B66" s="26" t="s">
        <v>1519</v>
      </c>
      <c r="C66" s="26" t="s">
        <v>1304</v>
      </c>
      <c r="D66" s="26" t="s">
        <v>1515</v>
      </c>
      <c r="E66" s="27" t="s">
        <v>1306</v>
      </c>
      <c r="F66" s="27" t="s">
        <v>1307</v>
      </c>
      <c r="G66" s="27" t="n">
        <v>29</v>
      </c>
      <c r="H66" s="26" t="s">
        <v>1516</v>
      </c>
      <c r="I66" s="27" t="s">
        <v>1309</v>
      </c>
      <c r="J66" s="26" t="s">
        <v>1121</v>
      </c>
      <c r="K66" s="26" t="s">
        <v>151</v>
      </c>
      <c r="L66" s="24" t="s">
        <v>1119</v>
      </c>
      <c r="M66" s="26" t="str">
        <f aca="false">IFERROR(INDEX(W1_WYBOR!$B$6:$B$80,MATCH($L66,W1_WYBOR!$A$6:$A$80,0)),"")</f>
        <v>Funkcja własna na wspólnych komponentach (W2)</v>
      </c>
      <c r="N66" s="26" t="str">
        <f aca="false">IFERROR(INDEX(W1_WYBOR!$F$6:$F$80,MATCH($L66,W1_WYBOR!$A$6:$A$80,0)),"")</f>
        <v>WŁASNE na komponentach z W2</v>
      </c>
      <c r="O66" s="28" t="str">
        <f aca="false">IFERROR(INDEX(W1_WYBOR!$L$6:$L$80,MATCH($L66,W1_WYBOR!$A$6:$A$80,0)),"")</f>
        <v>Budujemy w aplikacji Eternal na komponentach W2</v>
      </c>
      <c r="P66" s="28" t="str">
        <f aca="false">IFERROR(INDEX(W1_WYBOR!$M$6:$M$80,MATCH($L66,W1_WYBOR!$A$6:$A$80,0)),"")</f>
        <v>Jak MVP</v>
      </c>
      <c r="Q66" s="27" t="str">
        <f aca="false">IFERROR(INDEX(W1_WYBOR!$P$6:$P$80,MATCH($L66,W1_WYBOR!$A$6:$A$80,0)),"")</f>
        <v>BEZ ZMIAN</v>
      </c>
      <c r="R66" s="26" t="s">
        <v>1520</v>
      </c>
      <c r="S66" s="26" t="str">
        <f aca="false">IFERROR(INDEX(W1_WYBOR!$V$6:$V$80,MATCH($L66,W1_WYBOR!$A$6:$A$80,0)),"")</f>
        <v>Zob. kolumna uwag w W3</v>
      </c>
    </row>
    <row r="67" customFormat="false" ht="48.75" hidden="false" customHeight="true" outlineLevel="0" collapsed="false">
      <c r="A67" s="24" t="s">
        <v>1521</v>
      </c>
      <c r="B67" s="26" t="s">
        <v>1522</v>
      </c>
      <c r="C67" s="26" t="s">
        <v>1304</v>
      </c>
      <c r="D67" s="26" t="s">
        <v>1523</v>
      </c>
      <c r="E67" s="27" t="s">
        <v>1306</v>
      </c>
      <c r="F67" s="27" t="s">
        <v>1386</v>
      </c>
      <c r="G67" s="27" t="n">
        <v>10</v>
      </c>
      <c r="H67" s="26" t="s">
        <v>337</v>
      </c>
      <c r="I67" s="27" t="s">
        <v>1309</v>
      </c>
      <c r="J67" s="26" t="s">
        <v>338</v>
      </c>
      <c r="K67" s="26" t="s">
        <v>1524</v>
      </c>
      <c r="L67" s="24" t="s">
        <v>336</v>
      </c>
      <c r="M67" s="26" t="str">
        <f aca="false">IFERROR(INDEX(W1_WYBOR!$B$6:$B$80,MATCH($L67,W1_WYBOR!$A$6:$A$80,0)),"")</f>
        <v>Asystent wiedzy z cytowaniami</v>
      </c>
      <c r="N67" s="26" t="str">
        <f aca="false">IFERROR(INDEX(W1_WYBOR!$F$6:$F$80,MATCH($L67,W1_WYBOR!$A$6:$A$80,0)),"")</f>
        <v>WŁASNE na modelach + licencja dla lekarza</v>
      </c>
      <c r="O67" s="28" t="str">
        <f aca="false">IFERROR(INDEX(W1_WYBOR!$L$6:$L$80,MATCH($L67,W1_WYBOR!$A$6:$A$80,0)),"")</f>
        <v>Pacjent: asystent wiedzy na naszych treściach redakcyjnych z cytowaniami, bez porad indywidualnych + ścieżka kryzysowa. Lekarz: DR.INFO (licencja/API)</v>
      </c>
      <c r="P67" s="28" t="str">
        <f aca="false">IFERROR(INDEX(W1_WYBOR!$M$6:$M$80,MATCH($L67,W1_WYBOR!$A$6:$A$80,0)),"")</f>
        <v>DR.INFO API w panelu lekarza; własny RAG z oceną jakości (W-38)</v>
      </c>
      <c r="Q67" s="27" t="str">
        <f aca="false">IFERROR(INDEX(W1_WYBOR!$P$6:$P$80,MATCH($L67,W1_WYBOR!$A$6:$A$80,0)),"")</f>
        <v>ZMIANA — WYMUSZONA RYNKIEM</v>
      </c>
      <c r="R67" s="26" t="s">
        <v>1525</v>
      </c>
      <c r="S67" s="26" t="str">
        <f aca="false">IFERROR(INDEX(W1_WYBOR!$V$6:$V$80,MATCH($L67,W1_WYBOR!$A$6:$A$80,0)),"")</f>
        <v>Brak</v>
      </c>
    </row>
    <row r="68" customFormat="false" ht="25.5" hidden="false" customHeight="true" outlineLevel="0" collapsed="false">
      <c r="A68" s="24" t="s">
        <v>1526</v>
      </c>
      <c r="B68" s="26" t="s">
        <v>1527</v>
      </c>
      <c r="C68" s="26" t="s">
        <v>1304</v>
      </c>
      <c r="D68" s="26" t="s">
        <v>1523</v>
      </c>
      <c r="E68" s="27" t="s">
        <v>1306</v>
      </c>
      <c r="F68" s="27" t="s">
        <v>1386</v>
      </c>
      <c r="G68" s="27" t="n">
        <v>10</v>
      </c>
      <c r="H68" s="26" t="s">
        <v>337</v>
      </c>
      <c r="I68" s="27" t="s">
        <v>1309</v>
      </c>
      <c r="J68" s="26" t="s">
        <v>1121</v>
      </c>
      <c r="K68" s="26" t="s">
        <v>151</v>
      </c>
      <c r="L68" s="24" t="s">
        <v>1119</v>
      </c>
      <c r="M68" s="26" t="str">
        <f aca="false">IFERROR(INDEX(W1_WYBOR!$B$6:$B$80,MATCH($L68,W1_WYBOR!$A$6:$A$80,0)),"")</f>
        <v>Funkcja własna na wspólnych komponentach (W2)</v>
      </c>
      <c r="N68" s="26" t="str">
        <f aca="false">IFERROR(INDEX(W1_WYBOR!$F$6:$F$80,MATCH($L68,W1_WYBOR!$A$6:$A$80,0)),"")</f>
        <v>WŁASNE na komponentach z W2</v>
      </c>
      <c r="O68" s="28" t="str">
        <f aca="false">IFERROR(INDEX(W1_WYBOR!$L$6:$L$80,MATCH($L68,W1_WYBOR!$A$6:$A$80,0)),"")</f>
        <v>Budujemy w aplikacji Eternal na komponentach W2</v>
      </c>
      <c r="P68" s="28" t="str">
        <f aca="false">IFERROR(INDEX(W1_WYBOR!$M$6:$M$80,MATCH($L68,W1_WYBOR!$A$6:$A$80,0)),"")</f>
        <v>Jak MVP</v>
      </c>
      <c r="Q68" s="27" t="str">
        <f aca="false">IFERROR(INDEX(W1_WYBOR!$P$6:$P$80,MATCH($L68,W1_WYBOR!$A$6:$A$80,0)),"")</f>
        <v>BEZ ZMIAN</v>
      </c>
      <c r="R68" s="26" t="s">
        <v>1528</v>
      </c>
      <c r="S68" s="26" t="str">
        <f aca="false">IFERROR(INDEX(W1_WYBOR!$V$6:$V$80,MATCH($L68,W1_WYBOR!$A$6:$A$80,0)),"")</f>
        <v>Zob. kolumna uwag w W3</v>
      </c>
    </row>
    <row r="69" customFormat="false" ht="37.5" hidden="false" customHeight="true" outlineLevel="0" collapsed="false">
      <c r="A69" s="24" t="s">
        <v>1529</v>
      </c>
      <c r="B69" s="26" t="s">
        <v>1530</v>
      </c>
      <c r="C69" s="26" t="s">
        <v>1304</v>
      </c>
      <c r="D69" s="26" t="s">
        <v>1523</v>
      </c>
      <c r="E69" s="27" t="s">
        <v>1306</v>
      </c>
      <c r="F69" s="27" t="s">
        <v>1307</v>
      </c>
      <c r="G69" s="27" t="n">
        <v>6</v>
      </c>
      <c r="H69" s="26" t="s">
        <v>1346</v>
      </c>
      <c r="I69" s="27" t="s">
        <v>1531</v>
      </c>
      <c r="J69" s="26" t="s">
        <v>320</v>
      </c>
      <c r="K69" s="26" t="s">
        <v>1347</v>
      </c>
      <c r="L69" s="24" t="s">
        <v>318</v>
      </c>
      <c r="M69" s="26" t="str">
        <f aca="false">IFERROR(INDEX(W1_WYBOR!$B$6:$B$80,MATCH($L69,W1_WYBOR!$A$6:$A$80,0)),"")</f>
        <v>Objaśnianie i interpretacja wyników (wyrób medyczny partnera)</v>
      </c>
      <c r="N69" s="26" t="str">
        <f aca="false">IFERROR(INDEX(W1_WYBOR!$F$6:$F$80,MATCH($L69,W1_WYBOR!$A$6:$A$80,0)),"")</f>
        <v>POŚREDNICTWO PARTNERA (CE) + własny słownik</v>
      </c>
      <c r="O69" s="28" t="str">
        <f aca="false">IFERROR(INDEX(W1_WYBOR!$L$6:$L$80,MATCH($L69,W1_WYBOR!$A$6:$A$80,0)),"")</f>
        <v>Słownik 200–300 haseł + Labplus jako moduł partnera dla interpretacji wyniku konkretnej osoby</v>
      </c>
      <c r="P69" s="28" t="str">
        <f aca="false">IFERROR(INDEX(W1_WYBOR!$M$6:$M$80,MATCH($L69,W1_WYBOR!$A$6:$A$80,0)),"")</f>
        <v>Labplus (pakiet „Dodatek med”)</v>
      </c>
      <c r="Q69" s="27" t="str">
        <f aca="false">IFERROR(INDEX(W1_WYBOR!$P$6:$P$80,MATCH($L69,W1_WYBOR!$A$6:$A$80,0)),"")</f>
        <v>BEZ ZMIAN</v>
      </c>
      <c r="R69" s="26" t="s">
        <v>1532</v>
      </c>
      <c r="S69" s="26" t="str">
        <f aca="false">IFERROR(INDEX(W1_WYBOR!$V$6:$V$80,MATCH($L69,W1_WYBOR!$A$6:$A$80,0)),"")</f>
        <v>Świadomie brak interpretacji (COMPLIANCE.md §1)</v>
      </c>
    </row>
    <row r="70" customFormat="false" ht="37.5" hidden="false" customHeight="true" outlineLevel="0" collapsed="false">
      <c r="A70" s="24" t="s">
        <v>1533</v>
      </c>
      <c r="B70" s="26" t="s">
        <v>1534</v>
      </c>
      <c r="C70" s="26" t="s">
        <v>1304</v>
      </c>
      <c r="D70" s="26" t="s">
        <v>1535</v>
      </c>
      <c r="E70" s="27" t="s">
        <v>1306</v>
      </c>
      <c r="F70" s="27" t="s">
        <v>1307</v>
      </c>
      <c r="G70" s="27" t="n">
        <v>2</v>
      </c>
      <c r="H70" s="26" t="s">
        <v>1409</v>
      </c>
      <c r="I70" s="27" t="s">
        <v>1309</v>
      </c>
      <c r="J70" s="26" t="s">
        <v>168</v>
      </c>
      <c r="K70" s="26" t="s">
        <v>1536</v>
      </c>
      <c r="L70" s="24" t="s">
        <v>166</v>
      </c>
      <c r="M70" s="26" t="str">
        <f aca="false">IFERROR(INDEX(W1_WYBOR!$B$6:$B$80,MATCH($L70,W1_WYBOR!$A$6:$A$80,0)),"")</f>
        <v>Uprawnienia i udostępnianie (kto, co, komu, na jak długo)</v>
      </c>
      <c r="N70" s="26" t="str">
        <f aca="false">IFERROR(INDEX(W1_WYBOR!$F$6:$F$80,MATCH($L70,W1_WYBOR!$A$6:$A$80,0)),"")</f>
        <v>BIERZEMY OPEN SOURCE + nasza warstwa</v>
      </c>
      <c r="O70" s="28" t="str">
        <f aca="false">IFERROR(INDEX(W1_WYBOR!$L$6:$L$80,MATCH($L70,W1_WYBOR!$A$6:$A$80,0)),"")</f>
        <v>Zasady dostępu Medplum + nasz moduł udostępnień czasowych (FHIR Consent z okresem) — bez osobnego silnika</v>
      </c>
      <c r="P70" s="28" t="str">
        <f aca="false">IFERROR(INDEX(W1_WYBOR!$M$6:$M$80,MATCH($L70,W1_WYBOR!$A$6:$A$80,0)),"")</f>
        <v>OpenFGA dla relacji pacjent–opiekun–lekarz–placówka i dostępu czasowego</v>
      </c>
      <c r="Q70" s="27" t="str">
        <f aca="false">IFERROR(INDEX(W1_WYBOR!$P$6:$P$80,MATCH($L70,W1_WYBOR!$A$6:$A$80,0)),"")</f>
        <v>ZMIANA</v>
      </c>
      <c r="R70" s="26" t="s">
        <v>1537</v>
      </c>
      <c r="S70" s="26" t="str">
        <f aca="false">IFERROR(INDEX(W1_WYBOR!$V$6:$V$80,MATCH($L70,W1_WYBOR!$A$6:$A$80,0)),"")</f>
        <v>Zaimplementowane: role, zgody FHIR Consent, udostępnianie wyników przez placówkę, potwierdzenia odczytu</v>
      </c>
    </row>
    <row r="71" customFormat="false" ht="25.5" hidden="false" customHeight="true" outlineLevel="0" collapsed="false">
      <c r="A71" s="24" t="s">
        <v>1538</v>
      </c>
      <c r="B71" s="26" t="s">
        <v>1539</v>
      </c>
      <c r="C71" s="26" t="s">
        <v>1304</v>
      </c>
      <c r="D71" s="26" t="s">
        <v>1540</v>
      </c>
      <c r="E71" s="27" t="s">
        <v>1306</v>
      </c>
      <c r="F71" s="27" t="s">
        <v>1386</v>
      </c>
      <c r="G71" s="27" t="n">
        <v>8</v>
      </c>
      <c r="H71" s="26" t="s">
        <v>1329</v>
      </c>
      <c r="I71" s="27" t="s">
        <v>1309</v>
      </c>
      <c r="J71" s="26" t="s">
        <v>1121</v>
      </c>
      <c r="K71" s="26" t="s">
        <v>151</v>
      </c>
      <c r="L71" s="24" t="s">
        <v>1119</v>
      </c>
      <c r="M71" s="26" t="str">
        <f aca="false">IFERROR(INDEX(W1_WYBOR!$B$6:$B$80,MATCH($L71,W1_WYBOR!$A$6:$A$80,0)),"")</f>
        <v>Funkcja własna na wspólnych komponentach (W2)</v>
      </c>
      <c r="N71" s="26" t="str">
        <f aca="false">IFERROR(INDEX(W1_WYBOR!$F$6:$F$80,MATCH($L71,W1_WYBOR!$A$6:$A$80,0)),"")</f>
        <v>WŁASNE na komponentach z W2</v>
      </c>
      <c r="O71" s="28" t="str">
        <f aca="false">IFERROR(INDEX(W1_WYBOR!$L$6:$L$80,MATCH($L71,W1_WYBOR!$A$6:$A$80,0)),"")</f>
        <v>Budujemy w aplikacji Eternal na komponentach W2</v>
      </c>
      <c r="P71" s="28" t="str">
        <f aca="false">IFERROR(INDEX(W1_WYBOR!$M$6:$M$80,MATCH($L71,W1_WYBOR!$A$6:$A$80,0)),"")</f>
        <v>Jak MVP</v>
      </c>
      <c r="Q71" s="27" t="str">
        <f aca="false">IFERROR(INDEX(W1_WYBOR!$P$6:$P$80,MATCH($L71,W1_WYBOR!$A$6:$A$80,0)),"")</f>
        <v>BEZ ZMIAN</v>
      </c>
      <c r="R71" s="26"/>
      <c r="S71" s="26" t="str">
        <f aca="false">IFERROR(INDEX(W1_WYBOR!$V$6:$V$80,MATCH($L71,W1_WYBOR!$A$6:$A$80,0)),"")</f>
        <v>Zob. kolumna uwag w W3</v>
      </c>
    </row>
    <row r="72" customFormat="false" ht="25.5" hidden="false" customHeight="true" outlineLevel="0" collapsed="false">
      <c r="A72" s="24" t="s">
        <v>1541</v>
      </c>
      <c r="B72" s="26" t="s">
        <v>1542</v>
      </c>
      <c r="C72" s="26" t="s">
        <v>1304</v>
      </c>
      <c r="D72" s="26" t="s">
        <v>1523</v>
      </c>
      <c r="E72" s="27" t="s">
        <v>1306</v>
      </c>
      <c r="F72" s="27" t="s">
        <v>1307</v>
      </c>
      <c r="G72" s="27" t="n">
        <v>29</v>
      </c>
      <c r="H72" s="26" t="s">
        <v>1516</v>
      </c>
      <c r="I72" s="27" t="s">
        <v>1543</v>
      </c>
      <c r="J72" s="26" t="s">
        <v>1121</v>
      </c>
      <c r="K72" s="26" t="s">
        <v>151</v>
      </c>
      <c r="L72" s="24" t="s">
        <v>1119</v>
      </c>
      <c r="M72" s="26" t="str">
        <f aca="false">IFERROR(INDEX(W1_WYBOR!$B$6:$B$80,MATCH($L72,W1_WYBOR!$A$6:$A$80,0)),"")</f>
        <v>Funkcja własna na wspólnych komponentach (W2)</v>
      </c>
      <c r="N72" s="26" t="str">
        <f aca="false">IFERROR(INDEX(W1_WYBOR!$F$6:$F$80,MATCH($L72,W1_WYBOR!$A$6:$A$80,0)),"")</f>
        <v>WŁASNE na komponentach z W2</v>
      </c>
      <c r="O72" s="28" t="str">
        <f aca="false">IFERROR(INDEX(W1_WYBOR!$L$6:$L$80,MATCH($L72,W1_WYBOR!$A$6:$A$80,0)),"")</f>
        <v>Budujemy w aplikacji Eternal na komponentach W2</v>
      </c>
      <c r="P72" s="28" t="str">
        <f aca="false">IFERROR(INDEX(W1_WYBOR!$M$6:$M$80,MATCH($L72,W1_WYBOR!$A$6:$A$80,0)),"")</f>
        <v>Jak MVP</v>
      </c>
      <c r="Q72" s="27" t="str">
        <f aca="false">IFERROR(INDEX(W1_WYBOR!$P$6:$P$80,MATCH($L72,W1_WYBOR!$A$6:$A$80,0)),"")</f>
        <v>BEZ ZMIAN</v>
      </c>
      <c r="R72" s="26" t="s">
        <v>1520</v>
      </c>
      <c r="S72" s="26" t="str">
        <f aca="false">IFERROR(INDEX(W1_WYBOR!$V$6:$V$80,MATCH($L72,W1_WYBOR!$A$6:$A$80,0)),"")</f>
        <v>Zob. kolumna uwag w W3</v>
      </c>
    </row>
    <row r="73" customFormat="false" ht="37.5" hidden="false" customHeight="true" outlineLevel="0" collapsed="false">
      <c r="A73" s="24" t="s">
        <v>1544</v>
      </c>
      <c r="B73" s="26" t="s">
        <v>1545</v>
      </c>
      <c r="C73" s="26" t="s">
        <v>1304</v>
      </c>
      <c r="D73" s="26" t="s">
        <v>1546</v>
      </c>
      <c r="E73" s="27" t="s">
        <v>1306</v>
      </c>
      <c r="F73" s="27" t="s">
        <v>1386</v>
      </c>
      <c r="G73" s="27" t="n">
        <v>9</v>
      </c>
      <c r="H73" s="26" t="s">
        <v>1448</v>
      </c>
      <c r="I73" s="27" t="s">
        <v>1454</v>
      </c>
      <c r="J73" s="26" t="s">
        <v>1339</v>
      </c>
      <c r="K73" s="26" t="s">
        <v>1340</v>
      </c>
      <c r="L73" s="24" t="s">
        <v>298</v>
      </c>
      <c r="M73" s="26" t="str">
        <f aca="false">IFERROR(INDEX(W1_WYBOR!$B$6:$B$80,MATCH($L73,W1_WYBOR!$A$6:$A$80,0)),"")</f>
        <v>Modele językowe (brama modeli)</v>
      </c>
      <c r="N73" s="26" t="str">
        <f aca="false">IFERROR(INDEX(W1_WYBOR!$F$6:$F$80,MATCH($L73,W1_WYBOR!$A$6:$A$80,0)),"")</f>
        <v>KUPUJEMY USŁUGĘ za własną bramą</v>
      </c>
      <c r="O73" s="28" t="str">
        <f aca="false">IFERROR(INDEX(W1_WYBOR!$L$6:$L$80,MATCH($L73,W1_WYBOR!$A$6:$A$80,0)),"")</f>
        <v>Claude przez Amazon Bedrock (profil eu.*) za naszą bramą LiteLLM + Mistral jako drugi dostawca z UE (przełączanie)</v>
      </c>
      <c r="P73" s="28" t="str">
        <f aca="false">IFERROR(INDEX(W1_WYBOR!$M$6:$M$80,MATCH($L73,W1_WYBOR!$A$6:$A$80,0)),"")</f>
        <v>+ Bielik v3 na własnym GPU w UE do zadań prostych (porządkowanie pól, klasyfikacja)</v>
      </c>
      <c r="Q73" s="27" t="str">
        <f aca="false">IFERROR(INDEX(W1_WYBOR!$P$6:$P$80,MATCH($L73,W1_WYBOR!$A$6:$A$80,0)),"")</f>
        <v>DOPRECYZOWANIE</v>
      </c>
      <c r="R73" s="26"/>
      <c r="S73" s="26" t="str">
        <f aca="false">IFERROR(INDEX(W1_WYBOR!$V$6:$V$80,MATCH($L73,W1_WYBOR!$A$6:$A$80,0)),"")</f>
        <v>Brak — świadomie (granica MDR w obecnej wersji)</v>
      </c>
    </row>
    <row r="74" customFormat="false" ht="25.5" hidden="false" customHeight="true" outlineLevel="0" collapsed="false">
      <c r="A74" s="24" t="s">
        <v>1547</v>
      </c>
      <c r="B74" s="26" t="s">
        <v>1548</v>
      </c>
      <c r="C74" s="26" t="s">
        <v>1304</v>
      </c>
      <c r="D74" s="26" t="s">
        <v>1546</v>
      </c>
      <c r="E74" s="27" t="s">
        <v>1306</v>
      </c>
      <c r="F74" s="27" t="s">
        <v>1307</v>
      </c>
      <c r="G74" s="27" t="n">
        <v>22</v>
      </c>
      <c r="H74" s="26" t="s">
        <v>1549</v>
      </c>
      <c r="I74" s="27" t="s">
        <v>1309</v>
      </c>
      <c r="J74" s="26" t="s">
        <v>1121</v>
      </c>
      <c r="K74" s="26" t="s">
        <v>151</v>
      </c>
      <c r="L74" s="24" t="s">
        <v>1119</v>
      </c>
      <c r="M74" s="26" t="str">
        <f aca="false">IFERROR(INDEX(W1_WYBOR!$B$6:$B$80,MATCH($L74,W1_WYBOR!$A$6:$A$80,0)),"")</f>
        <v>Funkcja własna na wspólnych komponentach (W2)</v>
      </c>
      <c r="N74" s="26" t="str">
        <f aca="false">IFERROR(INDEX(W1_WYBOR!$F$6:$F$80,MATCH($L74,W1_WYBOR!$A$6:$A$80,0)),"")</f>
        <v>WŁASNE na komponentach z W2</v>
      </c>
      <c r="O74" s="28" t="str">
        <f aca="false">IFERROR(INDEX(W1_WYBOR!$L$6:$L$80,MATCH($L74,W1_WYBOR!$A$6:$A$80,0)),"")</f>
        <v>Budujemy w aplikacji Eternal na komponentach W2</v>
      </c>
      <c r="P74" s="28" t="str">
        <f aca="false">IFERROR(INDEX(W1_WYBOR!$M$6:$M$80,MATCH($L74,W1_WYBOR!$A$6:$A$80,0)),"")</f>
        <v>Jak MVP</v>
      </c>
      <c r="Q74" s="27" t="str">
        <f aca="false">IFERROR(INDEX(W1_WYBOR!$P$6:$P$80,MATCH($L74,W1_WYBOR!$A$6:$A$80,0)),"")</f>
        <v>BEZ ZMIAN</v>
      </c>
      <c r="R74" s="26"/>
      <c r="S74" s="26" t="str">
        <f aca="false">IFERROR(INDEX(W1_WYBOR!$V$6:$V$80,MATCH($L74,W1_WYBOR!$A$6:$A$80,0)),"")</f>
        <v>Zob. kolumna uwag w W3</v>
      </c>
    </row>
    <row r="75" customFormat="false" ht="37.5" hidden="false" customHeight="true" outlineLevel="0" collapsed="false">
      <c r="A75" s="24" t="s">
        <v>1550</v>
      </c>
      <c r="B75" s="26" t="s">
        <v>1551</v>
      </c>
      <c r="C75" s="26" t="s">
        <v>1304</v>
      </c>
      <c r="D75" s="26" t="s">
        <v>1546</v>
      </c>
      <c r="E75" s="27" t="s">
        <v>1306</v>
      </c>
      <c r="F75" s="27" t="s">
        <v>1394</v>
      </c>
      <c r="G75" s="27" t="n">
        <v>22</v>
      </c>
      <c r="H75" s="26" t="s">
        <v>1549</v>
      </c>
      <c r="I75" s="27" t="s">
        <v>1552</v>
      </c>
      <c r="J75" s="26" t="s">
        <v>508</v>
      </c>
      <c r="K75" s="26" t="s">
        <v>1553</v>
      </c>
      <c r="L75" s="24" t="s">
        <v>506</v>
      </c>
      <c r="M75" s="26" t="str">
        <f aca="false">IFERROR(INDEX(W1_WYBOR!$B$6:$B$80,MATCH($L75,W1_WYBOR!$A$6:$A$80,0)),"")</f>
        <v>Wideo (konsultacje, wydarzenia)</v>
      </c>
      <c r="N75" s="26" t="str">
        <f aca="false">IFERROR(INDEX(W1_WYBOR!$F$6:$F$80,MATCH($L75,W1_WYBOR!$A$6:$A$80,0)),"")</f>
        <v>OPEN SOURCE u nas</v>
      </c>
      <c r="O75" s="28" t="str">
        <f aca="false">IFERROR(INDEX(W1_WYBOR!$L$6:$L$80,MATCH($L75,W1_WYBOR!$A$6:$A$80,0)),"")</f>
        <v>Jitsi na własnym serwerze w UE z tokenami JWT (gotowe w aplikacji)</v>
      </c>
      <c r="P75" s="28" t="str">
        <f aca="false">IFERROR(INDEX(W1_WYBOR!$M$6:$M$80,MATCH($L75,W1_WYBOR!$A$6:$A$80,0)),"")</f>
        <v>LiveKit na własnym serwerze (SDK mobilne, nagrywanie audio do Scribe, wydarzenia)</v>
      </c>
      <c r="Q75" s="27" t="str">
        <f aca="false">IFERROR(INDEX(W1_WYBOR!$P$6:$P$80,MATCH($L75,W1_WYBOR!$A$6:$A$80,0)),"")</f>
        <v>DOPRECYZOWANIE</v>
      </c>
      <c r="R75" s="26"/>
      <c r="S75" s="26" t="str">
        <f aca="false">IFERROR(INDEX(W1_WYBOR!$V$6:$V$80,MATCH($L75,W1_WYBOR!$A$6:$A$80,0)),"")</f>
        <v>Zaimplementowane: Jitsi z tokenami JWT i oknem czasowym wizyty</v>
      </c>
    </row>
    <row r="76" customFormat="false" ht="48.75" hidden="false" customHeight="true" outlineLevel="0" collapsed="false">
      <c r="A76" s="24" t="s">
        <v>1554</v>
      </c>
      <c r="B76" s="26" t="s">
        <v>1555</v>
      </c>
      <c r="C76" s="26" t="s">
        <v>1304</v>
      </c>
      <c r="D76" s="26" t="s">
        <v>1546</v>
      </c>
      <c r="E76" s="27" t="s">
        <v>1306</v>
      </c>
      <c r="F76" s="27" t="s">
        <v>1386</v>
      </c>
      <c r="G76" s="27" t="n">
        <v>18</v>
      </c>
      <c r="H76" s="26" t="s">
        <v>1360</v>
      </c>
      <c r="I76" s="27" t="s">
        <v>1387</v>
      </c>
      <c r="J76" s="26" t="s">
        <v>611</v>
      </c>
      <c r="K76" s="26" t="s">
        <v>1361</v>
      </c>
      <c r="L76" s="24" t="s">
        <v>609</v>
      </c>
      <c r="M76" s="26" t="str">
        <f aca="false">IFERROR(INDEX(W1_WYBOR!$B$6:$B$80,MATCH($L76,W1_WYBOR!$A$6:$A$80,0)),"")</f>
        <v>Brama e-zdrowia (P1: e-recepta, e-skierowanie)</v>
      </c>
      <c r="N76" s="26" t="str">
        <f aca="false">IFERROR(INDEX(W1_WYBOR!$F$6:$F$80,MATCH($L76,W1_WYBOR!$A$6:$A$80,0)),"")</f>
        <v>POŚREDNICTWO przez system gabinetowy placówki</v>
      </c>
      <c r="O76" s="28" t="str">
        <f aca="false">IFERROR(INDEX(W1_WYBOR!$L$6:$L$80,MATCH($L76,W1_WYBOR!$A$6:$A$80,0)),"")</f>
        <v>E-recepty i e-skierowania wystawia lekarz w systemie gabinetowym placówki; Eternal pokazuje status i dokumenty; adaptery do API systemów, które je mają</v>
      </c>
      <c r="P76" s="28" t="str">
        <f aca="false">IFERROR(INDEX(W1_WYBOR!$M$6:$M$80,MATCH($L76,W1_WYBOR!$A$6:$A$80,0)),"")</f>
        <v>Konektor P1 (np. Pentacomp) dla placówek, gdy Eternal Doctor staje się systemem placówki</v>
      </c>
      <c r="Q76" s="27" t="str">
        <f aca="false">IFERROR(INDEX(W1_WYBOR!$P$6:$P$80,MATCH($L76,W1_WYBOR!$A$6:$A$80,0)),"")</f>
        <v>DOPRECYZOWANIE</v>
      </c>
      <c r="R76" s="26" t="s">
        <v>1556</v>
      </c>
      <c r="S76" s="26" t="str">
        <f aca="false">IFERROR(INDEX(W1_WYBOR!$V$6:$V$80,MATCH($L76,W1_WYBOR!$A$6:$A$80,0)),"")</f>
        <v>Brak (świadomie — opisane w INTEGRATIONS.md)</v>
      </c>
    </row>
    <row r="77" customFormat="false" ht="48.75" hidden="false" customHeight="true" outlineLevel="0" collapsed="false">
      <c r="A77" s="24" t="s">
        <v>1557</v>
      </c>
      <c r="B77" s="26" t="s">
        <v>1558</v>
      </c>
      <c r="C77" s="26" t="s">
        <v>1304</v>
      </c>
      <c r="D77" s="26" t="s">
        <v>1546</v>
      </c>
      <c r="E77" s="27" t="s">
        <v>1306</v>
      </c>
      <c r="F77" s="27" t="s">
        <v>1394</v>
      </c>
      <c r="G77" s="27" t="n">
        <v>23</v>
      </c>
      <c r="H77" s="26" t="s">
        <v>1559</v>
      </c>
      <c r="I77" s="27" t="s">
        <v>1309</v>
      </c>
      <c r="J77" s="26" t="s">
        <v>591</v>
      </c>
      <c r="K77" s="26" t="s">
        <v>1560</v>
      </c>
      <c r="L77" s="24" t="s">
        <v>589</v>
      </c>
      <c r="M77" s="26" t="str">
        <f aca="false">IFERROR(INDEX(W1_WYBOR!$B$6:$B$80,MATCH($L77,W1_WYBOR!$A$6:$A$80,0)),"")</f>
        <v>Rezerwacje i kalendarze</v>
      </c>
      <c r="N77" s="26" t="str">
        <f aca="false">IFERROR(INDEX(W1_WYBOR!$F$6:$F$80,MATCH($L77,W1_WYBOR!$A$6:$A$80,0)),"")</f>
        <v>WŁASNY RDZEŃ + kanały zewnętrzne</v>
      </c>
      <c r="O77" s="28" t="str">
        <f aca="false">IFERROR(INDEX(W1_WYBOR!$L$6:$L$80,MATCH($L77,W1_WYBOR!$A$6:$A$80,0)),"")</f>
        <v>Nasz silnik terminów (rdzeń) + kanał ZnanyLekarz przez Docplanner Integrations API dla placówek z profilem premium</v>
      </c>
      <c r="P77" s="28" t="str">
        <f aca="false">IFERROR(INDEX(W1_WYBOR!$M$6:$M$80,MATCH($L77,W1_WYBOR!$A$6:$A$80,0)),"")</f>
        <v>+ synchronizacja z systemami gabinetowymi (W-28)</v>
      </c>
      <c r="Q77" s="27" t="str">
        <f aca="false">IFERROR(INDEX(W1_WYBOR!$P$6:$P$80,MATCH($L77,W1_WYBOR!$A$6:$A$80,0)),"")</f>
        <v>ZMIANA</v>
      </c>
      <c r="R77" s="26" t="s">
        <v>1561</v>
      </c>
      <c r="S77" s="26" t="str">
        <f aca="false">IFERROR(INDEX(W1_WYBOR!$V$6:$V$80,MATCH($L77,W1_WYBOR!$A$6:$A$80,0)),"")</f>
        <v>Zaimplementowane: terminy, rezerwacja bez podwójnych zapisów, odwołania, lista oczekujących, przypomnienia, NFZ</v>
      </c>
    </row>
    <row r="78" customFormat="false" ht="48.75" hidden="false" customHeight="true" outlineLevel="0" collapsed="false">
      <c r="A78" s="24" t="s">
        <v>1562</v>
      </c>
      <c r="B78" s="26" t="s">
        <v>1563</v>
      </c>
      <c r="C78" s="26" t="s">
        <v>1304</v>
      </c>
      <c r="D78" s="26" t="s">
        <v>1546</v>
      </c>
      <c r="E78" s="27" t="s">
        <v>1306</v>
      </c>
      <c r="F78" s="27" t="s">
        <v>1394</v>
      </c>
      <c r="G78" s="27" t="n">
        <v>23</v>
      </c>
      <c r="H78" s="26" t="s">
        <v>1559</v>
      </c>
      <c r="I78" s="27" t="s">
        <v>1564</v>
      </c>
      <c r="J78" s="26" t="s">
        <v>456</v>
      </c>
      <c r="K78" s="26" t="s">
        <v>1330</v>
      </c>
      <c r="L78" s="24" t="s">
        <v>454</v>
      </c>
      <c r="M78" s="26" t="str">
        <f aca="false">IFERROR(INDEX(W1_WYBOR!$B$6:$B$80,MATCH($L78,W1_WYBOR!$A$6:$A$80,0)),"")</f>
        <v>Powiadomienia i przypomnienia</v>
      </c>
      <c r="N78" s="26" t="str">
        <f aca="false">IFERROR(INDEX(W1_WYBOR!$F$6:$F$80,MATCH($L78,W1_WYBOR!$A$6:$A$80,0)),"")</f>
        <v>WŁASNA KOLEJKA na bezpłatnych kanałach</v>
      </c>
      <c r="O78" s="28" t="str">
        <f aca="false">IFERROR(INDEX(W1_WYBOR!$L$6:$L$80,MATCH($L78,W1_WYBOR!$A$6:$A$80,0)),"")</f>
        <v>Nasza kolejka (gotowa) + APNs/FCM/Web Push + Amazon SES (region UE) + SMSAPI</v>
      </c>
      <c r="P78" s="28" t="str">
        <f aca="false">IFERROR(INDEX(W1_WYBOR!$M$6:$M$80,MATCH($L78,W1_WYBOR!$A$6:$A$80,0)),"")</f>
        <v>Novu na naszym serwerze, gdy rośnie liczba kanałów, szablonów i preferencji</v>
      </c>
      <c r="Q78" s="27" t="str">
        <f aca="false">IFERROR(INDEX(W1_WYBOR!$P$6:$P$80,MATCH($L78,W1_WYBOR!$A$6:$A$80,0)),"")</f>
        <v>BEZ ZMIAN</v>
      </c>
      <c r="R78" s="26"/>
      <c r="S78" s="26" t="str">
        <f aca="false">IFERROR(INDEX(W1_WYBOR!$V$6:$V$80,MATCH($L78,W1_WYBOR!$A$6:$A$80,0)),"")</f>
        <v>Zaimplementowane: kolejka, Web Push, SMTP, SMS, preferencje, przypomnienia o wizytach</v>
      </c>
    </row>
    <row r="79" customFormat="false" ht="37.5" hidden="false" customHeight="true" outlineLevel="0" collapsed="false">
      <c r="A79" s="24" t="s">
        <v>1565</v>
      </c>
      <c r="B79" s="26" t="s">
        <v>1566</v>
      </c>
      <c r="C79" s="26" t="s">
        <v>1304</v>
      </c>
      <c r="D79" s="26" t="s">
        <v>1546</v>
      </c>
      <c r="E79" s="27" t="s">
        <v>1306</v>
      </c>
      <c r="F79" s="27" t="s">
        <v>1394</v>
      </c>
      <c r="G79" s="27" t="n">
        <v>19</v>
      </c>
      <c r="H79" s="26" t="s">
        <v>1395</v>
      </c>
      <c r="I79" s="27" t="s">
        <v>1567</v>
      </c>
      <c r="J79" s="26" t="s">
        <v>1483</v>
      </c>
      <c r="K79" s="26" t="s">
        <v>1484</v>
      </c>
      <c r="L79" s="24" t="s">
        <v>1106</v>
      </c>
      <c r="M79" s="26" t="str">
        <f aca="false">IFERROR(INDEX(W1_WYBOR!$B$6:$B$80,MATCH($L79,W1_WYBOR!$A$6:$A$80,0)),"")</f>
        <v>Funkcja systemu telefonu, przeglądarki lub urządzenia (nie kupujemy)</v>
      </c>
      <c r="N79" s="26" t="str">
        <f aca="false">IFERROR(INDEX(W1_WYBOR!$F$6:$F$80,MATCH($L79,W1_WYBOR!$A$6:$A$80,0)),"")</f>
        <v>SYSTEM</v>
      </c>
      <c r="O79" s="28" t="str">
        <f aca="false">IFERROR(INDEX(W1_WYBOR!$L$6:$L$80,MATCH($L79,W1_WYBOR!$A$6:$A$80,0)),"")</f>
        <v>Funkcja systemu + nasza obsługa w aplikacji</v>
      </c>
      <c r="P79" s="28" t="str">
        <f aca="false">IFERROR(INDEX(W1_WYBOR!$M$6:$M$80,MATCH($L79,W1_WYBOR!$A$6:$A$80,0)),"")</f>
        <v>Jak MVP</v>
      </c>
      <c r="Q79" s="27" t="str">
        <f aca="false">IFERROR(INDEX(W1_WYBOR!$P$6:$P$80,MATCH($L79,W1_WYBOR!$A$6:$A$80,0)),"")</f>
        <v>BEZ ZMIAN</v>
      </c>
      <c r="R79" s="26"/>
      <c r="S79" s="26" t="str">
        <f aca="false">IFERROR(INDEX(W1_WYBOR!$V$6:$V$80,MATCH($L79,W1_WYBOR!$A$6:$A$80,0)),"")</f>
        <v>Częściowo (PWA); pełny dostęp w aplikacji mobilnej</v>
      </c>
    </row>
    <row r="80" customFormat="false" ht="48.75" hidden="false" customHeight="true" outlineLevel="0" collapsed="false">
      <c r="A80" s="24" t="s">
        <v>1568</v>
      </c>
      <c r="B80" s="26" t="s">
        <v>1569</v>
      </c>
      <c r="C80" s="26" t="s">
        <v>1304</v>
      </c>
      <c r="D80" s="26" t="s">
        <v>1546</v>
      </c>
      <c r="E80" s="27" t="s">
        <v>1306</v>
      </c>
      <c r="F80" s="27" t="s">
        <v>1386</v>
      </c>
      <c r="G80" s="27" t="n">
        <v>18</v>
      </c>
      <c r="H80" s="26" t="s">
        <v>1360</v>
      </c>
      <c r="I80" s="27" t="s">
        <v>1570</v>
      </c>
      <c r="J80" s="26" t="s">
        <v>611</v>
      </c>
      <c r="K80" s="26" t="s">
        <v>1361</v>
      </c>
      <c r="L80" s="24" t="s">
        <v>609</v>
      </c>
      <c r="M80" s="26" t="str">
        <f aca="false">IFERROR(INDEX(W1_WYBOR!$B$6:$B$80,MATCH($L80,W1_WYBOR!$A$6:$A$80,0)),"")</f>
        <v>Brama e-zdrowia (P1: e-recepta, e-skierowanie)</v>
      </c>
      <c r="N80" s="26" t="str">
        <f aca="false">IFERROR(INDEX(W1_WYBOR!$F$6:$F$80,MATCH($L80,W1_WYBOR!$A$6:$A$80,0)),"")</f>
        <v>POŚREDNICTWO przez system gabinetowy placówki</v>
      </c>
      <c r="O80" s="28" t="str">
        <f aca="false">IFERROR(INDEX(W1_WYBOR!$L$6:$L$80,MATCH($L80,W1_WYBOR!$A$6:$A$80,0)),"")</f>
        <v>E-recepty i e-skierowania wystawia lekarz w systemie gabinetowym placówki; Eternal pokazuje status i dokumenty; adaptery do API systemów, które je mają</v>
      </c>
      <c r="P80" s="28" t="str">
        <f aca="false">IFERROR(INDEX(W1_WYBOR!$M$6:$M$80,MATCH($L80,W1_WYBOR!$A$6:$A$80,0)),"")</f>
        <v>Konektor P1 (np. Pentacomp) dla placówek, gdy Eternal Doctor staje się systemem placówki</v>
      </c>
      <c r="Q80" s="27" t="str">
        <f aca="false">IFERROR(INDEX(W1_WYBOR!$P$6:$P$80,MATCH($L80,W1_WYBOR!$A$6:$A$80,0)),"")</f>
        <v>DOPRECYZOWANIE</v>
      </c>
      <c r="R80" s="26" t="s">
        <v>1571</v>
      </c>
      <c r="S80" s="26" t="str">
        <f aca="false">IFERROR(INDEX(W1_WYBOR!$V$6:$V$80,MATCH($L80,W1_WYBOR!$A$6:$A$80,0)),"")</f>
        <v>Brak (świadomie — opisane w INTEGRATIONS.md)</v>
      </c>
    </row>
    <row r="81" customFormat="false" ht="37.5" hidden="false" customHeight="true" outlineLevel="0" collapsed="false">
      <c r="A81" s="24" t="s">
        <v>1572</v>
      </c>
      <c r="B81" s="26" t="s">
        <v>1573</v>
      </c>
      <c r="C81" s="26" t="s">
        <v>1304</v>
      </c>
      <c r="D81" s="26" t="s">
        <v>1546</v>
      </c>
      <c r="E81" s="27" t="s">
        <v>1306</v>
      </c>
      <c r="F81" s="27" t="s">
        <v>1394</v>
      </c>
      <c r="G81" s="27" t="n">
        <v>22</v>
      </c>
      <c r="H81" s="26" t="s">
        <v>1549</v>
      </c>
      <c r="I81" s="27" t="s">
        <v>1309</v>
      </c>
      <c r="J81" s="26" t="s">
        <v>508</v>
      </c>
      <c r="K81" s="26" t="s">
        <v>1553</v>
      </c>
      <c r="L81" s="24" t="s">
        <v>506</v>
      </c>
      <c r="M81" s="26" t="str">
        <f aca="false">IFERROR(INDEX(W1_WYBOR!$B$6:$B$80,MATCH($L81,W1_WYBOR!$A$6:$A$80,0)),"")</f>
        <v>Wideo (konsultacje, wydarzenia)</v>
      </c>
      <c r="N81" s="26" t="str">
        <f aca="false">IFERROR(INDEX(W1_WYBOR!$F$6:$F$80,MATCH($L81,W1_WYBOR!$A$6:$A$80,0)),"")</f>
        <v>OPEN SOURCE u nas</v>
      </c>
      <c r="O81" s="28" t="str">
        <f aca="false">IFERROR(INDEX(W1_WYBOR!$L$6:$L$80,MATCH($L81,W1_WYBOR!$A$6:$A$80,0)),"")</f>
        <v>Jitsi na własnym serwerze w UE z tokenami JWT (gotowe w aplikacji)</v>
      </c>
      <c r="P81" s="28" t="str">
        <f aca="false">IFERROR(INDEX(W1_WYBOR!$M$6:$M$80,MATCH($L81,W1_WYBOR!$A$6:$A$80,0)),"")</f>
        <v>LiveKit na własnym serwerze (SDK mobilne, nagrywanie audio do Scribe, wydarzenia)</v>
      </c>
      <c r="Q81" s="27" t="str">
        <f aca="false">IFERROR(INDEX(W1_WYBOR!$P$6:$P$80,MATCH($L81,W1_WYBOR!$A$6:$A$80,0)),"")</f>
        <v>DOPRECYZOWANIE</v>
      </c>
      <c r="R81" s="26"/>
      <c r="S81" s="26" t="str">
        <f aca="false">IFERROR(INDEX(W1_WYBOR!$V$6:$V$80,MATCH($L81,W1_WYBOR!$A$6:$A$80,0)),"")</f>
        <v>Zaimplementowane: Jitsi z tokenami JWT i oknem czasowym wizyty</v>
      </c>
    </row>
    <row r="82" customFormat="false" ht="37.5" hidden="false" customHeight="true" outlineLevel="0" collapsed="false">
      <c r="A82" s="24" t="s">
        <v>1574</v>
      </c>
      <c r="B82" s="26" t="s">
        <v>1575</v>
      </c>
      <c r="C82" s="26" t="s">
        <v>1304</v>
      </c>
      <c r="D82" s="26" t="s">
        <v>1546</v>
      </c>
      <c r="E82" s="27" t="s">
        <v>1306</v>
      </c>
      <c r="F82" s="27" t="s">
        <v>1386</v>
      </c>
      <c r="G82" s="27" t="n">
        <v>9</v>
      </c>
      <c r="H82" s="26" t="s">
        <v>1448</v>
      </c>
      <c r="I82" s="27" t="s">
        <v>1309</v>
      </c>
      <c r="J82" s="26" t="s">
        <v>1339</v>
      </c>
      <c r="K82" s="26" t="s">
        <v>1340</v>
      </c>
      <c r="L82" s="24" t="s">
        <v>298</v>
      </c>
      <c r="M82" s="26" t="str">
        <f aca="false">IFERROR(INDEX(W1_WYBOR!$B$6:$B$80,MATCH($L82,W1_WYBOR!$A$6:$A$80,0)),"")</f>
        <v>Modele językowe (brama modeli)</v>
      </c>
      <c r="N82" s="26" t="str">
        <f aca="false">IFERROR(INDEX(W1_WYBOR!$F$6:$F$80,MATCH($L82,W1_WYBOR!$A$6:$A$80,0)),"")</f>
        <v>KUPUJEMY USŁUGĘ za własną bramą</v>
      </c>
      <c r="O82" s="28" t="str">
        <f aca="false">IFERROR(INDEX(W1_WYBOR!$L$6:$L$80,MATCH($L82,W1_WYBOR!$A$6:$A$80,0)),"")</f>
        <v>Claude przez Amazon Bedrock (profil eu.*) za naszą bramą LiteLLM + Mistral jako drugi dostawca z UE (przełączanie)</v>
      </c>
      <c r="P82" s="28" t="str">
        <f aca="false">IFERROR(INDEX(W1_WYBOR!$M$6:$M$80,MATCH($L82,W1_WYBOR!$A$6:$A$80,0)),"")</f>
        <v>+ Bielik v3 na własnym GPU w UE do zadań prostych (porządkowanie pól, klasyfikacja)</v>
      </c>
      <c r="Q82" s="27" t="str">
        <f aca="false">IFERROR(INDEX(W1_WYBOR!$P$6:$P$80,MATCH($L82,W1_WYBOR!$A$6:$A$80,0)),"")</f>
        <v>DOPRECYZOWANIE</v>
      </c>
      <c r="R82" s="26"/>
      <c r="S82" s="26" t="str">
        <f aca="false">IFERROR(INDEX(W1_WYBOR!$V$6:$V$80,MATCH($L82,W1_WYBOR!$A$6:$A$80,0)),"")</f>
        <v>Brak — świadomie (granica MDR w obecnej wersji)</v>
      </c>
    </row>
    <row r="83" customFormat="false" ht="37.5" hidden="false" customHeight="true" outlineLevel="0" collapsed="false">
      <c r="A83" s="24" t="s">
        <v>1576</v>
      </c>
      <c r="B83" s="26" t="s">
        <v>1577</v>
      </c>
      <c r="C83" s="26" t="s">
        <v>1304</v>
      </c>
      <c r="D83" s="26" t="s">
        <v>1546</v>
      </c>
      <c r="E83" s="27" t="s">
        <v>1306</v>
      </c>
      <c r="F83" s="27" t="s">
        <v>1307</v>
      </c>
      <c r="G83" s="27" t="n">
        <v>28</v>
      </c>
      <c r="H83" s="26" t="s">
        <v>1441</v>
      </c>
      <c r="I83" s="27" t="s">
        <v>1309</v>
      </c>
      <c r="J83" s="26" t="s">
        <v>674</v>
      </c>
      <c r="K83" s="26" t="s">
        <v>1442</v>
      </c>
      <c r="L83" s="24" t="s">
        <v>672</v>
      </c>
      <c r="M83" s="26" t="str">
        <f aca="false">IFERROR(INDEX(W1_WYBOR!$B$6:$B$80,MATCH($L83,W1_WYBOR!$A$6:$A$80,0)),"")</f>
        <v>SOS i teleopieka 24/7</v>
      </c>
      <c r="N83" s="26" t="str">
        <f aca="false">IFERROR(INDEX(W1_WYBOR!$F$6:$F$80,MATCH($L83,W1_WYBOR!$A$6:$A$80,0)),"")</f>
        <v>WŁASNE (bezpłatne) + POŚREDNICTWO</v>
      </c>
      <c r="O83" s="28" t="str">
        <f aca="false">IFERROR(INDEX(W1_WYBOR!$L$6:$L$80,MATCH($L83,W1_WYBOR!$A$6:$A$80,0)),"")</f>
        <v>Przycisk 112 + powiadomienie bliskich (bez obietnicy reakcji); teleopieka 24/7 — partner wybrany w naborze (SiDLY albo Comarch)</v>
      </c>
      <c r="P83" s="28" t="str">
        <f aca="false">IFERROR(INDEX(W1_WYBOR!$M$6:$M$80,MATCH($L83,W1_WYBOR!$A$6:$A$80,0)),"")</f>
        <v>Teleopieka partnera w pakiecie Senior</v>
      </c>
      <c r="Q83" s="27" t="str">
        <f aca="false">IFERROR(INDEX(W1_WYBOR!$P$6:$P$80,MATCH($L83,W1_WYBOR!$A$6:$A$80,0)),"")</f>
        <v>DOPRECYZOWANIE</v>
      </c>
      <c r="R83" s="26" t="s">
        <v>1578</v>
      </c>
      <c r="S83" s="26" t="str">
        <f aca="false">IFERROR(INDEX(W1_WYBOR!$V$6:$V$80,MATCH($L83,W1_WYBOR!$A$6:$A$80,0)),"")</f>
        <v>Częściowo: informacja o numerach alarmowych w stopce</v>
      </c>
    </row>
    <row r="84" customFormat="false" ht="37.5" hidden="false" customHeight="true" outlineLevel="0" collapsed="false">
      <c r="A84" s="24" t="s">
        <v>1579</v>
      </c>
      <c r="B84" s="26" t="s">
        <v>1481</v>
      </c>
      <c r="C84" s="26" t="s">
        <v>1304</v>
      </c>
      <c r="D84" s="26" t="s">
        <v>1546</v>
      </c>
      <c r="E84" s="27" t="s">
        <v>1306</v>
      </c>
      <c r="F84" s="27" t="s">
        <v>1394</v>
      </c>
      <c r="G84" s="27" t="n">
        <v>19</v>
      </c>
      <c r="H84" s="26" t="s">
        <v>1395</v>
      </c>
      <c r="I84" s="27" t="s">
        <v>1567</v>
      </c>
      <c r="J84" s="26" t="s">
        <v>1483</v>
      </c>
      <c r="K84" s="26" t="s">
        <v>1484</v>
      </c>
      <c r="L84" s="24" t="s">
        <v>1106</v>
      </c>
      <c r="M84" s="26" t="str">
        <f aca="false">IFERROR(INDEX(W1_WYBOR!$B$6:$B$80,MATCH($L84,W1_WYBOR!$A$6:$A$80,0)),"")</f>
        <v>Funkcja systemu telefonu, przeglądarki lub urządzenia (nie kupujemy)</v>
      </c>
      <c r="N84" s="26" t="str">
        <f aca="false">IFERROR(INDEX(W1_WYBOR!$F$6:$F$80,MATCH($L84,W1_WYBOR!$A$6:$A$80,0)),"")</f>
        <v>SYSTEM</v>
      </c>
      <c r="O84" s="28" t="str">
        <f aca="false">IFERROR(INDEX(W1_WYBOR!$L$6:$L$80,MATCH($L84,W1_WYBOR!$A$6:$A$80,0)),"")</f>
        <v>Funkcja systemu + nasza obsługa w aplikacji</v>
      </c>
      <c r="P84" s="28" t="str">
        <f aca="false">IFERROR(INDEX(W1_WYBOR!$M$6:$M$80,MATCH($L84,W1_WYBOR!$A$6:$A$80,0)),"")</f>
        <v>Jak MVP</v>
      </c>
      <c r="Q84" s="27" t="str">
        <f aca="false">IFERROR(INDEX(W1_WYBOR!$P$6:$P$80,MATCH($L84,W1_WYBOR!$A$6:$A$80,0)),"")</f>
        <v>BEZ ZMIAN</v>
      </c>
      <c r="R84" s="26"/>
      <c r="S84" s="26" t="str">
        <f aca="false">IFERROR(INDEX(W1_WYBOR!$V$6:$V$80,MATCH($L84,W1_WYBOR!$A$6:$A$80,0)),"")</f>
        <v>Częściowo (PWA); pełny dostęp w aplikacji mobilnej</v>
      </c>
    </row>
    <row r="85" customFormat="false" ht="25.5" hidden="false" customHeight="true" outlineLevel="0" collapsed="false">
      <c r="A85" s="24" t="s">
        <v>1580</v>
      </c>
      <c r="B85" s="26" t="s">
        <v>1494</v>
      </c>
      <c r="C85" s="26" t="s">
        <v>1304</v>
      </c>
      <c r="D85" s="26" t="s">
        <v>1546</v>
      </c>
      <c r="E85" s="27" t="s">
        <v>1306</v>
      </c>
      <c r="F85" s="27" t="s">
        <v>1386</v>
      </c>
      <c r="G85" s="27" t="n">
        <v>20</v>
      </c>
      <c r="H85" s="26" t="s">
        <v>1491</v>
      </c>
      <c r="I85" s="27" t="s">
        <v>1581</v>
      </c>
      <c r="J85" s="26" t="s">
        <v>574</v>
      </c>
      <c r="K85" s="26" t="s">
        <v>1495</v>
      </c>
      <c r="L85" s="24" t="s">
        <v>572</v>
      </c>
      <c r="M85" s="26" t="str">
        <f aca="false">IFERROR(INDEX(W1_WYBOR!$B$6:$B$80,MATCH($L85,W1_WYBOR!$A$6:$A$80,0)),"")</f>
        <v>Wywiad objawowy i triaż (wyrób medyczny partnera)</v>
      </c>
      <c r="N85" s="26" t="str">
        <f aca="false">IFERROR(INDEX(W1_WYBOR!$F$6:$F$80,MATCH($L85,W1_WYBOR!$A$6:$A$80,0)),"")</f>
        <v>POŚREDNICTWO PARTNERA (CE)</v>
      </c>
      <c r="O85" s="28" t="str">
        <f aca="false">IFERROR(INDEX(W1_WYBOR!$L$6:$L$80,MATCH($L85,W1_WYBOR!$A$6:$A$80,0)),"")</f>
        <v>Ankieta przed wizytą bez oceny; Infermedica tylko dla placówek, które kupią moduł</v>
      </c>
      <c r="P85" s="28" t="str">
        <f aca="false">IFERROR(INDEX(W1_WYBOR!$M$6:$M$80,MATCH($L85,W1_WYBOR!$A$6:$A$80,0)),"")</f>
        <v>Infermedica w pakiecie „Dodatek med” / Klinika</v>
      </c>
      <c r="Q85" s="27" t="str">
        <f aca="false">IFERROR(INDEX(W1_WYBOR!$P$6:$P$80,MATCH($L85,W1_WYBOR!$A$6:$A$80,0)),"")</f>
        <v>DOPRECYZOWANIE</v>
      </c>
      <c r="R85" s="26" t="s">
        <v>1582</v>
      </c>
      <c r="S85" s="26" t="str">
        <f aca="false">IFERROR(INDEX(W1_WYBOR!$V$6:$V$80,MATCH($L85,W1_WYBOR!$A$6:$A$80,0)),"")</f>
        <v>Zaimplementowane: ankieta przed wizytą bez oceny</v>
      </c>
    </row>
    <row r="86" customFormat="false" ht="48.75" hidden="false" customHeight="true" outlineLevel="0" collapsed="false">
      <c r="A86" s="24" t="s">
        <v>1583</v>
      </c>
      <c r="B86" s="26" t="s">
        <v>1584</v>
      </c>
      <c r="C86" s="26" t="s">
        <v>1304</v>
      </c>
      <c r="D86" s="26" t="s">
        <v>1546</v>
      </c>
      <c r="E86" s="27" t="s">
        <v>1306</v>
      </c>
      <c r="F86" s="27" t="s">
        <v>1386</v>
      </c>
      <c r="G86" s="27" t="n">
        <v>18</v>
      </c>
      <c r="H86" s="26" t="s">
        <v>1360</v>
      </c>
      <c r="I86" s="27" t="s">
        <v>1309</v>
      </c>
      <c r="J86" s="26" t="s">
        <v>611</v>
      </c>
      <c r="K86" s="26" t="s">
        <v>1361</v>
      </c>
      <c r="L86" s="24" t="s">
        <v>609</v>
      </c>
      <c r="M86" s="26" t="str">
        <f aca="false">IFERROR(INDEX(W1_WYBOR!$B$6:$B$80,MATCH($L86,W1_WYBOR!$A$6:$A$80,0)),"")</f>
        <v>Brama e-zdrowia (P1: e-recepta, e-skierowanie)</v>
      </c>
      <c r="N86" s="26" t="str">
        <f aca="false">IFERROR(INDEX(W1_WYBOR!$F$6:$F$80,MATCH($L86,W1_WYBOR!$A$6:$A$80,0)),"")</f>
        <v>POŚREDNICTWO przez system gabinetowy placówki</v>
      </c>
      <c r="O86" s="28" t="str">
        <f aca="false">IFERROR(INDEX(W1_WYBOR!$L$6:$L$80,MATCH($L86,W1_WYBOR!$A$6:$A$80,0)),"")</f>
        <v>E-recepty i e-skierowania wystawia lekarz w systemie gabinetowym placówki; Eternal pokazuje status i dokumenty; adaptery do API systemów, które je mają</v>
      </c>
      <c r="P86" s="28" t="str">
        <f aca="false">IFERROR(INDEX(W1_WYBOR!$M$6:$M$80,MATCH($L86,W1_WYBOR!$A$6:$A$80,0)),"")</f>
        <v>Konektor P1 (np. Pentacomp) dla placówek, gdy Eternal Doctor staje się systemem placówki</v>
      </c>
      <c r="Q86" s="27" t="str">
        <f aca="false">IFERROR(INDEX(W1_WYBOR!$P$6:$P$80,MATCH($L86,W1_WYBOR!$A$6:$A$80,0)),"")</f>
        <v>DOPRECYZOWANIE</v>
      </c>
      <c r="R86" s="26" t="s">
        <v>1556</v>
      </c>
      <c r="S86" s="26" t="str">
        <f aca="false">IFERROR(INDEX(W1_WYBOR!$V$6:$V$80,MATCH($L86,W1_WYBOR!$A$6:$A$80,0)),"")</f>
        <v>Brak (świadomie — opisane w INTEGRATIONS.md)</v>
      </c>
    </row>
    <row r="87" customFormat="false" ht="48.75" hidden="false" customHeight="true" outlineLevel="0" collapsed="false">
      <c r="A87" s="24" t="s">
        <v>1585</v>
      </c>
      <c r="B87" s="26" t="s">
        <v>1586</v>
      </c>
      <c r="C87" s="26" t="s">
        <v>1304</v>
      </c>
      <c r="D87" s="26" t="s">
        <v>1546</v>
      </c>
      <c r="E87" s="27" t="s">
        <v>1306</v>
      </c>
      <c r="F87" s="27" t="s">
        <v>1386</v>
      </c>
      <c r="G87" s="27" t="n">
        <v>18</v>
      </c>
      <c r="H87" s="26" t="s">
        <v>1360</v>
      </c>
      <c r="I87" s="27" t="s">
        <v>1309</v>
      </c>
      <c r="J87" s="26" t="s">
        <v>611</v>
      </c>
      <c r="K87" s="26" t="s">
        <v>1361</v>
      </c>
      <c r="L87" s="24" t="s">
        <v>609</v>
      </c>
      <c r="M87" s="26" t="str">
        <f aca="false">IFERROR(INDEX(W1_WYBOR!$B$6:$B$80,MATCH($L87,W1_WYBOR!$A$6:$A$80,0)),"")</f>
        <v>Brama e-zdrowia (P1: e-recepta, e-skierowanie)</v>
      </c>
      <c r="N87" s="26" t="str">
        <f aca="false">IFERROR(INDEX(W1_WYBOR!$F$6:$F$80,MATCH($L87,W1_WYBOR!$A$6:$A$80,0)),"")</f>
        <v>POŚREDNICTWO przez system gabinetowy placówki</v>
      </c>
      <c r="O87" s="28" t="str">
        <f aca="false">IFERROR(INDEX(W1_WYBOR!$L$6:$L$80,MATCH($L87,W1_WYBOR!$A$6:$A$80,0)),"")</f>
        <v>E-recepty i e-skierowania wystawia lekarz w systemie gabinetowym placówki; Eternal pokazuje status i dokumenty; adaptery do API systemów, które je mają</v>
      </c>
      <c r="P87" s="28" t="str">
        <f aca="false">IFERROR(INDEX(W1_WYBOR!$M$6:$M$80,MATCH($L87,W1_WYBOR!$A$6:$A$80,0)),"")</f>
        <v>Konektor P1 (np. Pentacomp) dla placówek, gdy Eternal Doctor staje się systemem placówki</v>
      </c>
      <c r="Q87" s="27" t="str">
        <f aca="false">IFERROR(INDEX(W1_WYBOR!$P$6:$P$80,MATCH($L87,W1_WYBOR!$A$6:$A$80,0)),"")</f>
        <v>DOPRECYZOWANIE</v>
      </c>
      <c r="R87" s="26" t="s">
        <v>1587</v>
      </c>
      <c r="S87" s="26" t="str">
        <f aca="false">IFERROR(INDEX(W1_WYBOR!$V$6:$V$80,MATCH($L87,W1_WYBOR!$A$6:$A$80,0)),"")</f>
        <v>Brak (świadomie — opisane w INTEGRATIONS.md)</v>
      </c>
    </row>
    <row r="88" customFormat="false" ht="48.75" hidden="false" customHeight="true" outlineLevel="0" collapsed="false">
      <c r="A88" s="24" t="s">
        <v>1588</v>
      </c>
      <c r="B88" s="26" t="s">
        <v>1589</v>
      </c>
      <c r="C88" s="26" t="s">
        <v>1304</v>
      </c>
      <c r="D88" s="26" t="s">
        <v>1546</v>
      </c>
      <c r="E88" s="27" t="s">
        <v>1306</v>
      </c>
      <c r="F88" s="27" t="s">
        <v>1394</v>
      </c>
      <c r="G88" s="27" t="n">
        <v>23</v>
      </c>
      <c r="H88" s="26" t="s">
        <v>1559</v>
      </c>
      <c r="I88" s="27" t="s">
        <v>1309</v>
      </c>
      <c r="J88" s="26" t="s">
        <v>456</v>
      </c>
      <c r="K88" s="26" t="s">
        <v>1330</v>
      </c>
      <c r="L88" s="24" t="s">
        <v>454</v>
      </c>
      <c r="M88" s="26" t="str">
        <f aca="false">IFERROR(INDEX(W1_WYBOR!$B$6:$B$80,MATCH($L88,W1_WYBOR!$A$6:$A$80,0)),"")</f>
        <v>Powiadomienia i przypomnienia</v>
      </c>
      <c r="N88" s="26" t="str">
        <f aca="false">IFERROR(INDEX(W1_WYBOR!$F$6:$F$80,MATCH($L88,W1_WYBOR!$A$6:$A$80,0)),"")</f>
        <v>WŁASNA KOLEJKA na bezpłatnych kanałach</v>
      </c>
      <c r="O88" s="28" t="str">
        <f aca="false">IFERROR(INDEX(W1_WYBOR!$L$6:$L$80,MATCH($L88,W1_WYBOR!$A$6:$A$80,0)),"")</f>
        <v>Nasza kolejka (gotowa) + APNs/FCM/Web Push + Amazon SES (region UE) + SMSAPI</v>
      </c>
      <c r="P88" s="28" t="str">
        <f aca="false">IFERROR(INDEX(W1_WYBOR!$M$6:$M$80,MATCH($L88,W1_WYBOR!$A$6:$A$80,0)),"")</f>
        <v>Novu na naszym serwerze, gdy rośnie liczba kanałów, szablonów i preferencji</v>
      </c>
      <c r="Q88" s="27" t="str">
        <f aca="false">IFERROR(INDEX(W1_WYBOR!$P$6:$P$80,MATCH($L88,W1_WYBOR!$A$6:$A$80,0)),"")</f>
        <v>BEZ ZMIAN</v>
      </c>
      <c r="R88" s="26"/>
      <c r="S88" s="26" t="str">
        <f aca="false">IFERROR(INDEX(W1_WYBOR!$V$6:$V$80,MATCH($L88,W1_WYBOR!$A$6:$A$80,0)),"")</f>
        <v>Zaimplementowane: kolejka, Web Push, SMTP, SMS, preferencje, przypomnienia o wizytach</v>
      </c>
    </row>
    <row r="89" customFormat="false" ht="37.5" hidden="false" customHeight="true" outlineLevel="0" collapsed="false">
      <c r="A89" s="24" t="s">
        <v>1590</v>
      </c>
      <c r="B89" s="26" t="s">
        <v>1591</v>
      </c>
      <c r="C89" s="26" t="s">
        <v>1304</v>
      </c>
      <c r="D89" s="26" t="s">
        <v>1546</v>
      </c>
      <c r="E89" s="27" t="s">
        <v>1306</v>
      </c>
      <c r="F89" s="27" t="s">
        <v>1307</v>
      </c>
      <c r="G89" s="27" t="n">
        <v>28</v>
      </c>
      <c r="H89" s="26" t="s">
        <v>1441</v>
      </c>
      <c r="I89" s="27" t="s">
        <v>1592</v>
      </c>
      <c r="J89" s="26" t="s">
        <v>674</v>
      </c>
      <c r="K89" s="26" t="s">
        <v>1442</v>
      </c>
      <c r="L89" s="24" t="s">
        <v>672</v>
      </c>
      <c r="M89" s="26" t="str">
        <f aca="false">IFERROR(INDEX(W1_WYBOR!$B$6:$B$80,MATCH($L89,W1_WYBOR!$A$6:$A$80,0)),"")</f>
        <v>SOS i teleopieka 24/7</v>
      </c>
      <c r="N89" s="26" t="str">
        <f aca="false">IFERROR(INDEX(W1_WYBOR!$F$6:$F$80,MATCH($L89,W1_WYBOR!$A$6:$A$80,0)),"")</f>
        <v>WŁASNE (bezpłatne) + POŚREDNICTWO</v>
      </c>
      <c r="O89" s="28" t="str">
        <f aca="false">IFERROR(INDEX(W1_WYBOR!$L$6:$L$80,MATCH($L89,W1_WYBOR!$A$6:$A$80,0)),"")</f>
        <v>Przycisk 112 + powiadomienie bliskich (bez obietnicy reakcji); teleopieka 24/7 — partner wybrany w naborze (SiDLY albo Comarch)</v>
      </c>
      <c r="P89" s="28" t="str">
        <f aca="false">IFERROR(INDEX(W1_WYBOR!$M$6:$M$80,MATCH($L89,W1_WYBOR!$A$6:$A$80,0)),"")</f>
        <v>Teleopieka partnera w pakiecie Senior</v>
      </c>
      <c r="Q89" s="27" t="str">
        <f aca="false">IFERROR(INDEX(W1_WYBOR!$P$6:$P$80,MATCH($L89,W1_WYBOR!$A$6:$A$80,0)),"")</f>
        <v>DOPRECYZOWANIE</v>
      </c>
      <c r="R89" s="26" t="s">
        <v>1593</v>
      </c>
      <c r="S89" s="26" t="str">
        <f aca="false">IFERROR(INDEX(W1_WYBOR!$V$6:$V$80,MATCH($L89,W1_WYBOR!$A$6:$A$80,0)),"")</f>
        <v>Częściowo: informacja o numerach alarmowych w stopce</v>
      </c>
    </row>
    <row r="90" customFormat="false" ht="37.5" hidden="false" customHeight="true" outlineLevel="0" collapsed="false">
      <c r="A90" s="24" t="s">
        <v>1594</v>
      </c>
      <c r="B90" s="26" t="s">
        <v>1595</v>
      </c>
      <c r="C90" s="26" t="s">
        <v>1304</v>
      </c>
      <c r="D90" s="26" t="s">
        <v>1596</v>
      </c>
      <c r="E90" s="27" t="s">
        <v>1306</v>
      </c>
      <c r="F90" s="27" t="s">
        <v>1307</v>
      </c>
      <c r="G90" s="27" t="n">
        <v>3</v>
      </c>
      <c r="H90" s="26" t="s">
        <v>1459</v>
      </c>
      <c r="I90" s="27" t="s">
        <v>1309</v>
      </c>
      <c r="J90" s="26" t="s">
        <v>358</v>
      </c>
      <c r="K90" s="26" t="s">
        <v>1470</v>
      </c>
      <c r="L90" s="24" t="s">
        <v>356</v>
      </c>
      <c r="M90" s="26" t="str">
        <f aca="false">IFERROR(INDEX(W1_WYBOR!$B$6:$B$80,MATCH($L90,W1_WYBOR!$A$6:$A$80,0)),"")</f>
        <v>Dane zdrowotne z telefonu (Apple Zdrowie, Health Connect)</v>
      </c>
      <c r="N90" s="26" t="str">
        <f aca="false">IFERROR(INDEX(W1_WYBOR!$F$6:$F$80,MATCH($L90,W1_WYBOR!$A$6:$A$80,0)),"")</f>
        <v>SYSTEM + biblioteki open source</v>
      </c>
      <c r="O90" s="28" t="str">
        <f aca="false">IFERROR(INDEX(W1_WYBOR!$L$6:$L$80,MATCH($L90,W1_WYBOR!$A$6:$A$80,0)),"")</f>
        <v>Aplikacja mobilna React Native/Expo z HealthKit i Health Connect (biblioteki MIT); synchronizacja w tle</v>
      </c>
      <c r="P90" s="28" t="str">
        <f aca="false">IFERROR(INDEX(W1_WYBOR!$M$6:$M$80,MATCH($L90,W1_WYBOR!$A$6:$A$80,0)),"")</f>
        <v>+ Samsung Health Data SDK</v>
      </c>
      <c r="Q90" s="27" t="str">
        <f aca="false">IFERROR(INDEX(W1_WYBOR!$P$6:$P$80,MATCH($L90,W1_WYBOR!$A$6:$A$80,0)),"")</f>
        <v>DOPRECYZOWANIE</v>
      </c>
      <c r="R90" s="26"/>
      <c r="S90" s="26" t="str">
        <f aca="false">IFERROR(INDEX(W1_WYBOR!$V$6:$V$80,MATCH($L90,W1_WYBOR!$A$6:$A$80,0)),"")</f>
        <v>Brak — obecnie PWA; jest Web Bluetooth (Chrome/Edge) i Withings</v>
      </c>
    </row>
    <row r="91" customFormat="false" ht="37.5" hidden="false" customHeight="true" outlineLevel="0" collapsed="false">
      <c r="A91" s="24" t="s">
        <v>1597</v>
      </c>
      <c r="B91" s="26" t="s">
        <v>1598</v>
      </c>
      <c r="C91" s="26" t="s">
        <v>1304</v>
      </c>
      <c r="D91" s="26" t="s">
        <v>1596</v>
      </c>
      <c r="E91" s="27" t="s">
        <v>1306</v>
      </c>
      <c r="F91" s="27" t="s">
        <v>1307</v>
      </c>
      <c r="G91" s="27" t="n">
        <v>3</v>
      </c>
      <c r="H91" s="26" t="s">
        <v>1459</v>
      </c>
      <c r="I91" s="27" t="s">
        <v>1309</v>
      </c>
      <c r="J91" s="26" t="s">
        <v>358</v>
      </c>
      <c r="K91" s="26" t="s">
        <v>1470</v>
      </c>
      <c r="L91" s="24" t="s">
        <v>356</v>
      </c>
      <c r="M91" s="26" t="str">
        <f aca="false">IFERROR(INDEX(W1_WYBOR!$B$6:$B$80,MATCH($L91,W1_WYBOR!$A$6:$A$80,0)),"")</f>
        <v>Dane zdrowotne z telefonu (Apple Zdrowie, Health Connect)</v>
      </c>
      <c r="N91" s="26" t="str">
        <f aca="false">IFERROR(INDEX(W1_WYBOR!$F$6:$F$80,MATCH($L91,W1_WYBOR!$A$6:$A$80,0)),"")</f>
        <v>SYSTEM + biblioteki open source</v>
      </c>
      <c r="O91" s="28" t="str">
        <f aca="false">IFERROR(INDEX(W1_WYBOR!$L$6:$L$80,MATCH($L91,W1_WYBOR!$A$6:$A$80,0)),"")</f>
        <v>Aplikacja mobilna React Native/Expo z HealthKit i Health Connect (biblioteki MIT); synchronizacja w tle</v>
      </c>
      <c r="P91" s="28" t="str">
        <f aca="false">IFERROR(INDEX(W1_WYBOR!$M$6:$M$80,MATCH($L91,W1_WYBOR!$A$6:$A$80,0)),"")</f>
        <v>+ Samsung Health Data SDK</v>
      </c>
      <c r="Q91" s="27" t="str">
        <f aca="false">IFERROR(INDEX(W1_WYBOR!$P$6:$P$80,MATCH($L91,W1_WYBOR!$A$6:$A$80,0)),"")</f>
        <v>DOPRECYZOWANIE</v>
      </c>
      <c r="R91" s="26"/>
      <c r="S91" s="26" t="str">
        <f aca="false">IFERROR(INDEX(W1_WYBOR!$V$6:$V$80,MATCH($L91,W1_WYBOR!$A$6:$A$80,0)),"")</f>
        <v>Brak — obecnie PWA; jest Web Bluetooth (Chrome/Edge) i Withings</v>
      </c>
    </row>
    <row r="92" customFormat="false" ht="25.5" hidden="false" customHeight="true" outlineLevel="0" collapsed="false">
      <c r="A92" s="24" t="s">
        <v>1599</v>
      </c>
      <c r="B92" s="26" t="s">
        <v>1600</v>
      </c>
      <c r="C92" s="26" t="s">
        <v>1304</v>
      </c>
      <c r="D92" s="26" t="s">
        <v>1596</v>
      </c>
      <c r="E92" s="27" t="s">
        <v>1306</v>
      </c>
      <c r="F92" s="27" t="s">
        <v>1307</v>
      </c>
      <c r="G92" s="27" t="n">
        <v>3</v>
      </c>
      <c r="H92" s="26" t="s">
        <v>1459</v>
      </c>
      <c r="I92" s="27" t="s">
        <v>1601</v>
      </c>
      <c r="J92" s="26" t="s">
        <v>1121</v>
      </c>
      <c r="K92" s="26" t="s">
        <v>151</v>
      </c>
      <c r="L92" s="24" t="s">
        <v>1119</v>
      </c>
      <c r="M92" s="26" t="str">
        <f aca="false">IFERROR(INDEX(W1_WYBOR!$B$6:$B$80,MATCH($L92,W1_WYBOR!$A$6:$A$80,0)),"")</f>
        <v>Funkcja własna na wspólnych komponentach (W2)</v>
      </c>
      <c r="N92" s="26" t="str">
        <f aca="false">IFERROR(INDEX(W1_WYBOR!$F$6:$F$80,MATCH($L92,W1_WYBOR!$A$6:$A$80,0)),"")</f>
        <v>WŁASNE na komponentach z W2</v>
      </c>
      <c r="O92" s="28" t="str">
        <f aca="false">IFERROR(INDEX(W1_WYBOR!$L$6:$L$80,MATCH($L92,W1_WYBOR!$A$6:$A$80,0)),"")</f>
        <v>Budujemy w aplikacji Eternal na komponentach W2</v>
      </c>
      <c r="P92" s="28" t="str">
        <f aca="false">IFERROR(INDEX(W1_WYBOR!$M$6:$M$80,MATCH($L92,W1_WYBOR!$A$6:$A$80,0)),"")</f>
        <v>Jak MVP</v>
      </c>
      <c r="Q92" s="27" t="str">
        <f aca="false">IFERROR(INDEX(W1_WYBOR!$P$6:$P$80,MATCH($L92,W1_WYBOR!$A$6:$A$80,0)),"")</f>
        <v>BEZ ZMIAN</v>
      </c>
      <c r="R92" s="26"/>
      <c r="S92" s="26" t="str">
        <f aca="false">IFERROR(INDEX(W1_WYBOR!$V$6:$V$80,MATCH($L92,W1_WYBOR!$A$6:$A$80,0)),"")</f>
        <v>Zob. kolumna uwag w W3</v>
      </c>
    </row>
    <row r="93" customFormat="false" ht="25.5" hidden="false" customHeight="true" outlineLevel="0" collapsed="false">
      <c r="A93" s="24" t="s">
        <v>1602</v>
      </c>
      <c r="B93" s="26" t="s">
        <v>1603</v>
      </c>
      <c r="C93" s="26" t="s">
        <v>1304</v>
      </c>
      <c r="D93" s="26" t="s">
        <v>1596</v>
      </c>
      <c r="E93" s="27" t="s">
        <v>1306</v>
      </c>
      <c r="F93" s="27" t="s">
        <v>1307</v>
      </c>
      <c r="G93" s="27" t="n">
        <v>3</v>
      </c>
      <c r="H93" s="26" t="s">
        <v>1459</v>
      </c>
      <c r="I93" s="27" t="s">
        <v>1604</v>
      </c>
      <c r="J93" s="26" t="s">
        <v>1121</v>
      </c>
      <c r="K93" s="26" t="s">
        <v>151</v>
      </c>
      <c r="L93" s="24" t="s">
        <v>1119</v>
      </c>
      <c r="M93" s="26" t="str">
        <f aca="false">IFERROR(INDEX(W1_WYBOR!$B$6:$B$80,MATCH($L93,W1_WYBOR!$A$6:$A$80,0)),"")</f>
        <v>Funkcja własna na wspólnych komponentach (W2)</v>
      </c>
      <c r="N93" s="26" t="str">
        <f aca="false">IFERROR(INDEX(W1_WYBOR!$F$6:$F$80,MATCH($L93,W1_WYBOR!$A$6:$A$80,0)),"")</f>
        <v>WŁASNE na komponentach z W2</v>
      </c>
      <c r="O93" s="28" t="str">
        <f aca="false">IFERROR(INDEX(W1_WYBOR!$L$6:$L$80,MATCH($L93,W1_WYBOR!$A$6:$A$80,0)),"")</f>
        <v>Budujemy w aplikacji Eternal na komponentach W2</v>
      </c>
      <c r="P93" s="28" t="str">
        <f aca="false">IFERROR(INDEX(W1_WYBOR!$M$6:$M$80,MATCH($L93,W1_WYBOR!$A$6:$A$80,0)),"")</f>
        <v>Jak MVP</v>
      </c>
      <c r="Q93" s="27" t="str">
        <f aca="false">IFERROR(INDEX(W1_WYBOR!$P$6:$P$80,MATCH($L93,W1_WYBOR!$A$6:$A$80,0)),"")</f>
        <v>BEZ ZMIAN</v>
      </c>
      <c r="R93" s="26"/>
      <c r="S93" s="26" t="str">
        <f aca="false">IFERROR(INDEX(W1_WYBOR!$V$6:$V$80,MATCH($L93,W1_WYBOR!$A$6:$A$80,0)),"")</f>
        <v>Zob. kolumna uwag w W3</v>
      </c>
    </row>
    <row r="94" customFormat="false" ht="37.5" hidden="false" customHeight="true" outlineLevel="0" collapsed="false">
      <c r="A94" s="24" t="s">
        <v>1605</v>
      </c>
      <c r="B94" s="26" t="s">
        <v>1606</v>
      </c>
      <c r="C94" s="26" t="s">
        <v>1304</v>
      </c>
      <c r="D94" s="26" t="s">
        <v>1596</v>
      </c>
      <c r="E94" s="27" t="s">
        <v>1306</v>
      </c>
      <c r="F94" s="27" t="s">
        <v>1307</v>
      </c>
      <c r="G94" s="27" t="n">
        <v>3</v>
      </c>
      <c r="H94" s="26" t="s">
        <v>1459</v>
      </c>
      <c r="I94" s="27" t="s">
        <v>1309</v>
      </c>
      <c r="J94" s="26" t="s">
        <v>358</v>
      </c>
      <c r="K94" s="26" t="s">
        <v>1470</v>
      </c>
      <c r="L94" s="24" t="s">
        <v>356</v>
      </c>
      <c r="M94" s="26" t="str">
        <f aca="false">IFERROR(INDEX(W1_WYBOR!$B$6:$B$80,MATCH($L94,W1_WYBOR!$A$6:$A$80,0)),"")</f>
        <v>Dane zdrowotne z telefonu (Apple Zdrowie, Health Connect)</v>
      </c>
      <c r="N94" s="26" t="str">
        <f aca="false">IFERROR(INDEX(W1_WYBOR!$F$6:$F$80,MATCH($L94,W1_WYBOR!$A$6:$A$80,0)),"")</f>
        <v>SYSTEM + biblioteki open source</v>
      </c>
      <c r="O94" s="28" t="str">
        <f aca="false">IFERROR(INDEX(W1_WYBOR!$L$6:$L$80,MATCH($L94,W1_WYBOR!$A$6:$A$80,0)),"")</f>
        <v>Aplikacja mobilna React Native/Expo z HealthKit i Health Connect (biblioteki MIT); synchronizacja w tle</v>
      </c>
      <c r="P94" s="28" t="str">
        <f aca="false">IFERROR(INDEX(W1_WYBOR!$M$6:$M$80,MATCH($L94,W1_WYBOR!$A$6:$A$80,0)),"")</f>
        <v>+ Samsung Health Data SDK</v>
      </c>
      <c r="Q94" s="27" t="str">
        <f aca="false">IFERROR(INDEX(W1_WYBOR!$P$6:$P$80,MATCH($L94,W1_WYBOR!$A$6:$A$80,0)),"")</f>
        <v>DOPRECYZOWANIE</v>
      </c>
      <c r="R94" s="26"/>
      <c r="S94" s="26" t="str">
        <f aca="false">IFERROR(INDEX(W1_WYBOR!$V$6:$V$80,MATCH($L94,W1_WYBOR!$A$6:$A$80,0)),"")</f>
        <v>Brak — obecnie PWA; jest Web Bluetooth (Chrome/Edge) i Withings</v>
      </c>
    </row>
    <row r="95" customFormat="false" ht="48.75" hidden="false" customHeight="true" outlineLevel="0" collapsed="false">
      <c r="A95" s="24" t="s">
        <v>1607</v>
      </c>
      <c r="B95" s="26" t="s">
        <v>1608</v>
      </c>
      <c r="C95" s="26" t="s">
        <v>1304</v>
      </c>
      <c r="D95" s="26" t="s">
        <v>1596</v>
      </c>
      <c r="E95" s="27" t="s">
        <v>1306</v>
      </c>
      <c r="F95" s="27" t="s">
        <v>1307</v>
      </c>
      <c r="G95" s="27" t="n">
        <v>3</v>
      </c>
      <c r="H95" s="26" t="s">
        <v>1459</v>
      </c>
      <c r="I95" s="27" t="s">
        <v>1309</v>
      </c>
      <c r="J95" s="26" t="s">
        <v>1609</v>
      </c>
      <c r="K95" s="26" t="s">
        <v>1610</v>
      </c>
      <c r="L95" s="24" t="s">
        <v>396</v>
      </c>
      <c r="M95" s="26" t="str">
        <f aca="false">IFERROR(INDEX(W1_WYBOR!$B$6:$B$80,MATCH($L95,W1_WYBOR!$A$6:$A$80,0)),"")</f>
        <v>Domowe urządzenia pomiarowe</v>
      </c>
      <c r="N95" s="26" t="str">
        <f aca="false">IFERROR(INDEX(W1_WYBOR!$F$6:$F$80,MATCH($L95,W1_WYBOR!$A$6:$A$80,0)),"")</f>
        <v>KUPUJEMY URZĄDZENIA + standard Bluetooth</v>
      </c>
      <c r="O95" s="28" t="str">
        <f aca="false">IFERROR(INDEX(W1_WYBOR!$L$6:$L$80,MATCH($L95,W1_WYBOR!$A$6:$A$80,0)),"")</f>
        <v>Withings (plan Standard bezpłatnie) + dowolne urządzenia z profilem Bluetooth GATT + zdjęcie wyświetlacza</v>
      </c>
      <c r="P95" s="28" t="str">
        <f aca="false">IFERROR(INDEX(W1_WYBOR!$M$6:$M$80,MATCH($L95,W1_WYBOR!$A$6:$A$80,0)),"")</f>
        <v>Withings Health Solutions (zestawy komórkowe, wysyłka) dla RPM i Station; Enterprise powyżej 5 000 aktywnych</v>
      </c>
      <c r="Q95" s="27" t="str">
        <f aca="false">IFERROR(INDEX(W1_WYBOR!$P$6:$P$80,MATCH($L95,W1_WYBOR!$A$6:$A$80,0)),"")</f>
        <v>BEZ ZMIAN</v>
      </c>
      <c r="R95" s="26" t="s">
        <v>1611</v>
      </c>
      <c r="S95" s="26" t="str">
        <f aca="false">IFERROR(INDEX(W1_WYBOR!$V$6:$V$80,MATCH($L95,W1_WYBOR!$A$6:$A$80,0)),"")</f>
        <v>Zaimplementowane: Web Bluetooth (5 profili), Withings OAuth, wpis ręczny</v>
      </c>
    </row>
    <row r="96" customFormat="false" ht="48.75" hidden="false" customHeight="true" outlineLevel="0" collapsed="false">
      <c r="A96" s="24" t="s">
        <v>1612</v>
      </c>
      <c r="B96" s="26" t="s">
        <v>1613</v>
      </c>
      <c r="C96" s="26" t="s">
        <v>1304</v>
      </c>
      <c r="D96" s="26" t="s">
        <v>1596</v>
      </c>
      <c r="E96" s="27" t="s">
        <v>1306</v>
      </c>
      <c r="F96" s="27" t="s">
        <v>1307</v>
      </c>
      <c r="G96" s="27" t="n">
        <v>3</v>
      </c>
      <c r="H96" s="26" t="s">
        <v>1459</v>
      </c>
      <c r="I96" s="27" t="s">
        <v>1309</v>
      </c>
      <c r="J96" s="26" t="s">
        <v>1609</v>
      </c>
      <c r="K96" s="26" t="s">
        <v>1610</v>
      </c>
      <c r="L96" s="24" t="s">
        <v>396</v>
      </c>
      <c r="M96" s="26" t="str">
        <f aca="false">IFERROR(INDEX(W1_WYBOR!$B$6:$B$80,MATCH($L96,W1_WYBOR!$A$6:$A$80,0)),"")</f>
        <v>Domowe urządzenia pomiarowe</v>
      </c>
      <c r="N96" s="26" t="str">
        <f aca="false">IFERROR(INDEX(W1_WYBOR!$F$6:$F$80,MATCH($L96,W1_WYBOR!$A$6:$A$80,0)),"")</f>
        <v>KUPUJEMY URZĄDZENIA + standard Bluetooth</v>
      </c>
      <c r="O96" s="28" t="str">
        <f aca="false">IFERROR(INDEX(W1_WYBOR!$L$6:$L$80,MATCH($L96,W1_WYBOR!$A$6:$A$80,0)),"")</f>
        <v>Withings (plan Standard bezpłatnie) + dowolne urządzenia z profilem Bluetooth GATT + zdjęcie wyświetlacza</v>
      </c>
      <c r="P96" s="28" t="str">
        <f aca="false">IFERROR(INDEX(W1_WYBOR!$M$6:$M$80,MATCH($L96,W1_WYBOR!$A$6:$A$80,0)),"")</f>
        <v>Withings Health Solutions (zestawy komórkowe, wysyłka) dla RPM i Station; Enterprise powyżej 5 000 aktywnych</v>
      </c>
      <c r="Q96" s="27" t="str">
        <f aca="false">IFERROR(INDEX(W1_WYBOR!$P$6:$P$80,MATCH($L96,W1_WYBOR!$A$6:$A$80,0)),"")</f>
        <v>BEZ ZMIAN</v>
      </c>
      <c r="R96" s="26" t="s">
        <v>1614</v>
      </c>
      <c r="S96" s="26" t="str">
        <f aca="false">IFERROR(INDEX(W1_WYBOR!$V$6:$V$80,MATCH($L96,W1_WYBOR!$A$6:$A$80,0)),"")</f>
        <v>Zaimplementowane: Web Bluetooth (5 profili), Withings OAuth, wpis ręczny</v>
      </c>
    </row>
    <row r="97" customFormat="false" ht="25.5" hidden="false" customHeight="true" outlineLevel="0" collapsed="false">
      <c r="A97" s="24" t="s">
        <v>1615</v>
      </c>
      <c r="B97" s="26" t="s">
        <v>1616</v>
      </c>
      <c r="C97" s="26" t="s">
        <v>1304</v>
      </c>
      <c r="D97" s="26" t="s">
        <v>1596</v>
      </c>
      <c r="E97" s="27" t="s">
        <v>1306</v>
      </c>
      <c r="F97" s="27" t="s">
        <v>1307</v>
      </c>
      <c r="G97" s="27" t="n">
        <v>3</v>
      </c>
      <c r="H97" s="26" t="s">
        <v>1459</v>
      </c>
      <c r="I97" s="27" t="s">
        <v>1309</v>
      </c>
      <c r="J97" s="26" t="s">
        <v>1121</v>
      </c>
      <c r="K97" s="26" t="s">
        <v>151</v>
      </c>
      <c r="L97" s="24" t="s">
        <v>1119</v>
      </c>
      <c r="M97" s="26" t="str">
        <f aca="false">IFERROR(INDEX(W1_WYBOR!$B$6:$B$80,MATCH($L97,W1_WYBOR!$A$6:$A$80,0)),"")</f>
        <v>Funkcja własna na wspólnych komponentach (W2)</v>
      </c>
      <c r="N97" s="26" t="str">
        <f aca="false">IFERROR(INDEX(W1_WYBOR!$F$6:$F$80,MATCH($L97,W1_WYBOR!$A$6:$A$80,0)),"")</f>
        <v>WŁASNE na komponentach z W2</v>
      </c>
      <c r="O97" s="28" t="str">
        <f aca="false">IFERROR(INDEX(W1_WYBOR!$L$6:$L$80,MATCH($L97,W1_WYBOR!$A$6:$A$80,0)),"")</f>
        <v>Budujemy w aplikacji Eternal na komponentach W2</v>
      </c>
      <c r="P97" s="28" t="str">
        <f aca="false">IFERROR(INDEX(W1_WYBOR!$M$6:$M$80,MATCH($L97,W1_WYBOR!$A$6:$A$80,0)),"")</f>
        <v>Jak MVP</v>
      </c>
      <c r="Q97" s="27" t="str">
        <f aca="false">IFERROR(INDEX(W1_WYBOR!$P$6:$P$80,MATCH($L97,W1_WYBOR!$A$6:$A$80,0)),"")</f>
        <v>BEZ ZMIAN</v>
      </c>
      <c r="R97" s="26"/>
      <c r="S97" s="26" t="str">
        <f aca="false">IFERROR(INDEX(W1_WYBOR!$V$6:$V$80,MATCH($L97,W1_WYBOR!$A$6:$A$80,0)),"")</f>
        <v>Zob. kolumna uwag w W3</v>
      </c>
    </row>
    <row r="98" customFormat="false" ht="48.75" hidden="false" customHeight="true" outlineLevel="0" collapsed="false">
      <c r="A98" s="24" t="s">
        <v>1617</v>
      </c>
      <c r="B98" s="26" t="s">
        <v>1618</v>
      </c>
      <c r="C98" s="26" t="s">
        <v>1619</v>
      </c>
      <c r="D98" s="26" t="s">
        <v>1620</v>
      </c>
      <c r="E98" s="27" t="s">
        <v>1306</v>
      </c>
      <c r="F98" s="27" t="s">
        <v>1307</v>
      </c>
      <c r="G98" s="27" t="n">
        <v>44</v>
      </c>
      <c r="H98" s="26" t="s">
        <v>1621</v>
      </c>
      <c r="I98" s="27" t="s">
        <v>1622</v>
      </c>
      <c r="J98" s="26" t="s">
        <v>1609</v>
      </c>
      <c r="K98" s="26" t="s">
        <v>1610</v>
      </c>
      <c r="L98" s="24" t="s">
        <v>396</v>
      </c>
      <c r="M98" s="26" t="str">
        <f aca="false">IFERROR(INDEX(W1_WYBOR!$B$6:$B$80,MATCH($L98,W1_WYBOR!$A$6:$A$80,0)),"")</f>
        <v>Domowe urządzenia pomiarowe</v>
      </c>
      <c r="N98" s="26" t="str">
        <f aca="false">IFERROR(INDEX(W1_WYBOR!$F$6:$F$80,MATCH($L98,W1_WYBOR!$A$6:$A$80,0)),"")</f>
        <v>KUPUJEMY URZĄDZENIA + standard Bluetooth</v>
      </c>
      <c r="O98" s="28" t="str">
        <f aca="false">IFERROR(INDEX(W1_WYBOR!$L$6:$L$80,MATCH($L98,W1_WYBOR!$A$6:$A$80,0)),"")</f>
        <v>Withings (plan Standard bezpłatnie) + dowolne urządzenia z profilem Bluetooth GATT + zdjęcie wyświetlacza</v>
      </c>
      <c r="P98" s="28" t="str">
        <f aca="false">IFERROR(INDEX(W1_WYBOR!$M$6:$M$80,MATCH($L98,W1_WYBOR!$A$6:$A$80,0)),"")</f>
        <v>Withings Health Solutions (zestawy komórkowe, wysyłka) dla RPM i Station; Enterprise powyżej 5 000 aktywnych</v>
      </c>
      <c r="Q98" s="27" t="str">
        <f aca="false">IFERROR(INDEX(W1_WYBOR!$P$6:$P$80,MATCH($L98,W1_WYBOR!$A$6:$A$80,0)),"")</f>
        <v>BEZ ZMIAN</v>
      </c>
      <c r="R98" s="26"/>
      <c r="S98" s="26" t="str">
        <f aca="false">IFERROR(INDEX(W1_WYBOR!$V$6:$V$80,MATCH($L98,W1_WYBOR!$A$6:$A$80,0)),"")</f>
        <v>Zaimplementowane: Web Bluetooth (5 profili), Withings OAuth, wpis ręczny</v>
      </c>
    </row>
    <row r="99" customFormat="false" ht="48.75" hidden="false" customHeight="true" outlineLevel="0" collapsed="false">
      <c r="A99" s="24" t="s">
        <v>1623</v>
      </c>
      <c r="B99" s="26" t="s">
        <v>1624</v>
      </c>
      <c r="C99" s="26" t="s">
        <v>1619</v>
      </c>
      <c r="D99" s="26" t="s">
        <v>1620</v>
      </c>
      <c r="E99" s="27" t="s">
        <v>1306</v>
      </c>
      <c r="F99" s="27" t="s">
        <v>1307</v>
      </c>
      <c r="G99" s="27" t="n">
        <v>44</v>
      </c>
      <c r="H99" s="26" t="s">
        <v>1621</v>
      </c>
      <c r="I99" s="27" t="s">
        <v>1309</v>
      </c>
      <c r="J99" s="26" t="s">
        <v>1609</v>
      </c>
      <c r="K99" s="26" t="s">
        <v>1610</v>
      </c>
      <c r="L99" s="24" t="s">
        <v>396</v>
      </c>
      <c r="M99" s="26" t="str">
        <f aca="false">IFERROR(INDEX(W1_WYBOR!$B$6:$B$80,MATCH($L99,W1_WYBOR!$A$6:$A$80,0)),"")</f>
        <v>Domowe urządzenia pomiarowe</v>
      </c>
      <c r="N99" s="26" t="str">
        <f aca="false">IFERROR(INDEX(W1_WYBOR!$F$6:$F$80,MATCH($L99,W1_WYBOR!$A$6:$A$80,0)),"")</f>
        <v>KUPUJEMY URZĄDZENIA + standard Bluetooth</v>
      </c>
      <c r="O99" s="28" t="str">
        <f aca="false">IFERROR(INDEX(W1_WYBOR!$L$6:$L$80,MATCH($L99,W1_WYBOR!$A$6:$A$80,0)),"")</f>
        <v>Withings (plan Standard bezpłatnie) + dowolne urządzenia z profilem Bluetooth GATT + zdjęcie wyświetlacza</v>
      </c>
      <c r="P99" s="28" t="str">
        <f aca="false">IFERROR(INDEX(W1_WYBOR!$M$6:$M$80,MATCH($L99,W1_WYBOR!$A$6:$A$80,0)),"")</f>
        <v>Withings Health Solutions (zestawy komórkowe, wysyłka) dla RPM i Station; Enterprise powyżej 5 000 aktywnych</v>
      </c>
      <c r="Q99" s="27" t="str">
        <f aca="false">IFERROR(INDEX(W1_WYBOR!$P$6:$P$80,MATCH($L99,W1_WYBOR!$A$6:$A$80,0)),"")</f>
        <v>BEZ ZMIAN</v>
      </c>
      <c r="R99" s="26"/>
      <c r="S99" s="26" t="str">
        <f aca="false">IFERROR(INDEX(W1_WYBOR!$V$6:$V$80,MATCH($L99,W1_WYBOR!$A$6:$A$80,0)),"")</f>
        <v>Zaimplementowane: Web Bluetooth (5 profili), Withings OAuth, wpis ręczny</v>
      </c>
    </row>
    <row r="100" customFormat="false" ht="48.75" hidden="false" customHeight="true" outlineLevel="0" collapsed="false">
      <c r="A100" s="24" t="s">
        <v>1625</v>
      </c>
      <c r="B100" s="26" t="s">
        <v>1626</v>
      </c>
      <c r="C100" s="26" t="s">
        <v>1619</v>
      </c>
      <c r="D100" s="26" t="s">
        <v>1620</v>
      </c>
      <c r="E100" s="27" t="s">
        <v>1306</v>
      </c>
      <c r="F100" s="27" t="s">
        <v>1307</v>
      </c>
      <c r="G100" s="27" t="n">
        <v>44</v>
      </c>
      <c r="H100" s="26" t="s">
        <v>1621</v>
      </c>
      <c r="I100" s="27" t="s">
        <v>1309</v>
      </c>
      <c r="J100" s="26" t="s">
        <v>1609</v>
      </c>
      <c r="K100" s="26" t="s">
        <v>1610</v>
      </c>
      <c r="L100" s="24" t="s">
        <v>396</v>
      </c>
      <c r="M100" s="26" t="str">
        <f aca="false">IFERROR(INDEX(W1_WYBOR!$B$6:$B$80,MATCH($L100,W1_WYBOR!$A$6:$A$80,0)),"")</f>
        <v>Domowe urządzenia pomiarowe</v>
      </c>
      <c r="N100" s="26" t="str">
        <f aca="false">IFERROR(INDEX(W1_WYBOR!$F$6:$F$80,MATCH($L100,W1_WYBOR!$A$6:$A$80,0)),"")</f>
        <v>KUPUJEMY URZĄDZENIA + standard Bluetooth</v>
      </c>
      <c r="O100" s="28" t="str">
        <f aca="false">IFERROR(INDEX(W1_WYBOR!$L$6:$L$80,MATCH($L100,W1_WYBOR!$A$6:$A$80,0)),"")</f>
        <v>Withings (plan Standard bezpłatnie) + dowolne urządzenia z profilem Bluetooth GATT + zdjęcie wyświetlacza</v>
      </c>
      <c r="P100" s="28" t="str">
        <f aca="false">IFERROR(INDEX(W1_WYBOR!$M$6:$M$80,MATCH($L100,W1_WYBOR!$A$6:$A$80,0)),"")</f>
        <v>Withings Health Solutions (zestawy komórkowe, wysyłka) dla RPM i Station; Enterprise powyżej 5 000 aktywnych</v>
      </c>
      <c r="Q100" s="27" t="str">
        <f aca="false">IFERROR(INDEX(W1_WYBOR!$P$6:$P$80,MATCH($L100,W1_WYBOR!$A$6:$A$80,0)),"")</f>
        <v>BEZ ZMIAN</v>
      </c>
      <c r="R100" s="26"/>
      <c r="S100" s="26" t="str">
        <f aca="false">IFERROR(INDEX(W1_WYBOR!$V$6:$V$80,MATCH($L100,W1_WYBOR!$A$6:$A$80,0)),"")</f>
        <v>Zaimplementowane: Web Bluetooth (5 profili), Withings OAuth, wpis ręczny</v>
      </c>
    </row>
    <row r="101" customFormat="false" ht="48.75" hidden="false" customHeight="true" outlineLevel="0" collapsed="false">
      <c r="A101" s="24" t="s">
        <v>1627</v>
      </c>
      <c r="B101" s="26" t="s">
        <v>1628</v>
      </c>
      <c r="C101" s="26" t="s">
        <v>1619</v>
      </c>
      <c r="D101" s="26" t="s">
        <v>1620</v>
      </c>
      <c r="E101" s="27" t="s">
        <v>1306</v>
      </c>
      <c r="F101" s="27" t="s">
        <v>1307</v>
      </c>
      <c r="G101" s="27" t="n">
        <v>44</v>
      </c>
      <c r="H101" s="26" t="s">
        <v>1621</v>
      </c>
      <c r="I101" s="27" t="s">
        <v>1309</v>
      </c>
      <c r="J101" s="26" t="s">
        <v>1609</v>
      </c>
      <c r="K101" s="26" t="s">
        <v>1610</v>
      </c>
      <c r="L101" s="24" t="s">
        <v>396</v>
      </c>
      <c r="M101" s="26" t="str">
        <f aca="false">IFERROR(INDEX(W1_WYBOR!$B$6:$B$80,MATCH($L101,W1_WYBOR!$A$6:$A$80,0)),"")</f>
        <v>Domowe urządzenia pomiarowe</v>
      </c>
      <c r="N101" s="26" t="str">
        <f aca="false">IFERROR(INDEX(W1_WYBOR!$F$6:$F$80,MATCH($L101,W1_WYBOR!$A$6:$A$80,0)),"")</f>
        <v>KUPUJEMY URZĄDZENIA + standard Bluetooth</v>
      </c>
      <c r="O101" s="28" t="str">
        <f aca="false">IFERROR(INDEX(W1_WYBOR!$L$6:$L$80,MATCH($L101,W1_WYBOR!$A$6:$A$80,0)),"")</f>
        <v>Withings (plan Standard bezpłatnie) + dowolne urządzenia z profilem Bluetooth GATT + zdjęcie wyświetlacza</v>
      </c>
      <c r="P101" s="28" t="str">
        <f aca="false">IFERROR(INDEX(W1_WYBOR!$M$6:$M$80,MATCH($L101,W1_WYBOR!$A$6:$A$80,0)),"")</f>
        <v>Withings Health Solutions (zestawy komórkowe, wysyłka) dla RPM i Station; Enterprise powyżej 5 000 aktywnych</v>
      </c>
      <c r="Q101" s="27" t="str">
        <f aca="false">IFERROR(INDEX(W1_WYBOR!$P$6:$P$80,MATCH($L101,W1_WYBOR!$A$6:$A$80,0)),"")</f>
        <v>BEZ ZMIAN</v>
      </c>
      <c r="R101" s="26" t="s">
        <v>1629</v>
      </c>
      <c r="S101" s="26" t="str">
        <f aca="false">IFERROR(INDEX(W1_WYBOR!$V$6:$V$80,MATCH($L101,W1_WYBOR!$A$6:$A$80,0)),"")</f>
        <v>Zaimplementowane: Web Bluetooth (5 profili), Withings OAuth, wpis ręczny</v>
      </c>
    </row>
    <row r="102" customFormat="false" ht="48.75" hidden="false" customHeight="true" outlineLevel="0" collapsed="false">
      <c r="A102" s="24" t="s">
        <v>1630</v>
      </c>
      <c r="B102" s="26" t="s">
        <v>1631</v>
      </c>
      <c r="C102" s="26" t="s">
        <v>1619</v>
      </c>
      <c r="D102" s="26" t="s">
        <v>1632</v>
      </c>
      <c r="E102" s="27" t="s">
        <v>1306</v>
      </c>
      <c r="F102" s="27" t="s">
        <v>1307</v>
      </c>
      <c r="G102" s="27" t="n">
        <v>44</v>
      </c>
      <c r="H102" s="26" t="s">
        <v>1621</v>
      </c>
      <c r="I102" s="27" t="s">
        <v>1633</v>
      </c>
      <c r="J102" s="26" t="s">
        <v>1609</v>
      </c>
      <c r="K102" s="26" t="s">
        <v>1610</v>
      </c>
      <c r="L102" s="24" t="s">
        <v>396</v>
      </c>
      <c r="M102" s="26" t="str">
        <f aca="false">IFERROR(INDEX(W1_WYBOR!$B$6:$B$80,MATCH($L102,W1_WYBOR!$A$6:$A$80,0)),"")</f>
        <v>Domowe urządzenia pomiarowe</v>
      </c>
      <c r="N102" s="26" t="str">
        <f aca="false">IFERROR(INDEX(W1_WYBOR!$F$6:$F$80,MATCH($L102,W1_WYBOR!$A$6:$A$80,0)),"")</f>
        <v>KUPUJEMY URZĄDZENIA + standard Bluetooth</v>
      </c>
      <c r="O102" s="28" t="str">
        <f aca="false">IFERROR(INDEX(W1_WYBOR!$L$6:$L$80,MATCH($L102,W1_WYBOR!$A$6:$A$80,0)),"")</f>
        <v>Withings (plan Standard bezpłatnie) + dowolne urządzenia z profilem Bluetooth GATT + zdjęcie wyświetlacza</v>
      </c>
      <c r="P102" s="28" t="str">
        <f aca="false">IFERROR(INDEX(W1_WYBOR!$M$6:$M$80,MATCH($L102,W1_WYBOR!$A$6:$A$80,0)),"")</f>
        <v>Withings Health Solutions (zestawy komórkowe, wysyłka) dla RPM i Station; Enterprise powyżej 5 000 aktywnych</v>
      </c>
      <c r="Q102" s="27" t="str">
        <f aca="false">IFERROR(INDEX(W1_WYBOR!$P$6:$P$80,MATCH($L102,W1_WYBOR!$A$6:$A$80,0)),"")</f>
        <v>BEZ ZMIAN</v>
      </c>
      <c r="R102" s="26"/>
      <c r="S102" s="26" t="str">
        <f aca="false">IFERROR(INDEX(W1_WYBOR!$V$6:$V$80,MATCH($L102,W1_WYBOR!$A$6:$A$80,0)),"")</f>
        <v>Zaimplementowane: Web Bluetooth (5 profili), Withings OAuth, wpis ręczny</v>
      </c>
    </row>
    <row r="103" customFormat="false" ht="37.5" hidden="false" customHeight="true" outlineLevel="0" collapsed="false">
      <c r="A103" s="24" t="s">
        <v>1634</v>
      </c>
      <c r="B103" s="26" t="s">
        <v>1635</v>
      </c>
      <c r="C103" s="26" t="s">
        <v>1619</v>
      </c>
      <c r="D103" s="26" t="s">
        <v>1636</v>
      </c>
      <c r="E103" s="27" t="s">
        <v>1306</v>
      </c>
      <c r="F103" s="27" t="s">
        <v>1394</v>
      </c>
      <c r="G103" s="27" t="n">
        <v>22</v>
      </c>
      <c r="H103" s="26" t="s">
        <v>1549</v>
      </c>
      <c r="I103" s="27" t="s">
        <v>1552</v>
      </c>
      <c r="J103" s="26" t="s">
        <v>508</v>
      </c>
      <c r="K103" s="26" t="s">
        <v>1553</v>
      </c>
      <c r="L103" s="24" t="s">
        <v>506</v>
      </c>
      <c r="M103" s="26" t="str">
        <f aca="false">IFERROR(INDEX(W1_WYBOR!$B$6:$B$80,MATCH($L103,W1_WYBOR!$A$6:$A$80,0)),"")</f>
        <v>Wideo (konsultacje, wydarzenia)</v>
      </c>
      <c r="N103" s="26" t="str">
        <f aca="false">IFERROR(INDEX(W1_WYBOR!$F$6:$F$80,MATCH($L103,W1_WYBOR!$A$6:$A$80,0)),"")</f>
        <v>OPEN SOURCE u nas</v>
      </c>
      <c r="O103" s="28" t="str">
        <f aca="false">IFERROR(INDEX(W1_WYBOR!$L$6:$L$80,MATCH($L103,W1_WYBOR!$A$6:$A$80,0)),"")</f>
        <v>Jitsi na własnym serwerze w UE z tokenami JWT (gotowe w aplikacji)</v>
      </c>
      <c r="P103" s="28" t="str">
        <f aca="false">IFERROR(INDEX(W1_WYBOR!$M$6:$M$80,MATCH($L103,W1_WYBOR!$A$6:$A$80,0)),"")</f>
        <v>LiveKit na własnym serwerze (SDK mobilne, nagrywanie audio do Scribe, wydarzenia)</v>
      </c>
      <c r="Q103" s="27" t="str">
        <f aca="false">IFERROR(INDEX(W1_WYBOR!$P$6:$P$80,MATCH($L103,W1_WYBOR!$A$6:$A$80,0)),"")</f>
        <v>DOPRECYZOWANIE</v>
      </c>
      <c r="R103" s="26"/>
      <c r="S103" s="26" t="str">
        <f aca="false">IFERROR(INDEX(W1_WYBOR!$V$6:$V$80,MATCH($L103,W1_WYBOR!$A$6:$A$80,0)),"")</f>
        <v>Zaimplementowane: Jitsi z tokenami JWT i oknem czasowym wizyty</v>
      </c>
    </row>
    <row r="104" customFormat="false" ht="37.5" hidden="false" customHeight="true" outlineLevel="0" collapsed="false">
      <c r="A104" s="24" t="s">
        <v>1637</v>
      </c>
      <c r="B104" s="26" t="s">
        <v>1638</v>
      </c>
      <c r="C104" s="26" t="s">
        <v>1619</v>
      </c>
      <c r="D104" s="26" t="s">
        <v>1636</v>
      </c>
      <c r="E104" s="27" t="s">
        <v>1306</v>
      </c>
      <c r="F104" s="27" t="s">
        <v>1307</v>
      </c>
      <c r="G104" s="27" t="n">
        <v>28</v>
      </c>
      <c r="H104" s="26" t="s">
        <v>1441</v>
      </c>
      <c r="I104" s="27" t="s">
        <v>1592</v>
      </c>
      <c r="J104" s="26" t="s">
        <v>674</v>
      </c>
      <c r="K104" s="26" t="s">
        <v>1442</v>
      </c>
      <c r="L104" s="24" t="s">
        <v>672</v>
      </c>
      <c r="M104" s="26" t="str">
        <f aca="false">IFERROR(INDEX(W1_WYBOR!$B$6:$B$80,MATCH($L104,W1_WYBOR!$A$6:$A$80,0)),"")</f>
        <v>SOS i teleopieka 24/7</v>
      </c>
      <c r="N104" s="26" t="str">
        <f aca="false">IFERROR(INDEX(W1_WYBOR!$F$6:$F$80,MATCH($L104,W1_WYBOR!$A$6:$A$80,0)),"")</f>
        <v>WŁASNE (bezpłatne) + POŚREDNICTWO</v>
      </c>
      <c r="O104" s="28" t="str">
        <f aca="false">IFERROR(INDEX(W1_WYBOR!$L$6:$L$80,MATCH($L104,W1_WYBOR!$A$6:$A$80,0)),"")</f>
        <v>Przycisk 112 + powiadomienie bliskich (bez obietnicy reakcji); teleopieka 24/7 — partner wybrany w naborze (SiDLY albo Comarch)</v>
      </c>
      <c r="P104" s="28" t="str">
        <f aca="false">IFERROR(INDEX(W1_WYBOR!$M$6:$M$80,MATCH($L104,W1_WYBOR!$A$6:$A$80,0)),"")</f>
        <v>Teleopieka partnera w pakiecie Senior</v>
      </c>
      <c r="Q104" s="27" t="str">
        <f aca="false">IFERROR(INDEX(W1_WYBOR!$P$6:$P$80,MATCH($L104,W1_WYBOR!$A$6:$A$80,0)),"")</f>
        <v>DOPRECYZOWANIE</v>
      </c>
      <c r="R104" s="26" t="s">
        <v>1593</v>
      </c>
      <c r="S104" s="26" t="str">
        <f aca="false">IFERROR(INDEX(W1_WYBOR!$V$6:$V$80,MATCH($L104,W1_WYBOR!$A$6:$A$80,0)),"")</f>
        <v>Częściowo: informacja o numerach alarmowych w stopce</v>
      </c>
    </row>
    <row r="105" customFormat="false" ht="48.75" hidden="false" customHeight="true" outlineLevel="0" collapsed="false">
      <c r="A105" s="24" t="s">
        <v>1639</v>
      </c>
      <c r="B105" s="26" t="s">
        <v>1640</v>
      </c>
      <c r="C105" s="26" t="s">
        <v>1641</v>
      </c>
      <c r="D105" s="26" t="s">
        <v>1642</v>
      </c>
      <c r="E105" s="27" t="s">
        <v>1306</v>
      </c>
      <c r="F105" s="27" t="s">
        <v>1307</v>
      </c>
      <c r="G105" s="27" t="n">
        <v>5</v>
      </c>
      <c r="H105" s="26" t="s">
        <v>1351</v>
      </c>
      <c r="I105" s="27" t="s">
        <v>1309</v>
      </c>
      <c r="J105" s="26" t="s">
        <v>223</v>
      </c>
      <c r="K105" s="26" t="s">
        <v>1352</v>
      </c>
      <c r="L105" s="24" t="s">
        <v>221</v>
      </c>
      <c r="M105" s="26" t="str">
        <f aca="false">IFERROR(INDEX(W1_WYBOR!$B$6:$B$80,MATCH($L105,W1_WYBOR!$A$6:$A$80,0)),"")</f>
        <v>Rekord zdrowia — serwer FHIR R4</v>
      </c>
      <c r="N105" s="26" t="str">
        <f aca="false">IFERROR(INDEX(W1_WYBOR!$F$6:$F$80,MATCH($L105,W1_WYBOR!$A$6:$A$80,0)),"")</f>
        <v>BIERZEMY OPEN SOURCE + nasza warstwa</v>
      </c>
      <c r="O105" s="28" t="str">
        <f aca="false">IFERROR(INDEX(W1_WYBOR!$L$6:$L$80,MATCH($L105,W1_WYBOR!$A$6:$A$80,0)),"")</f>
        <v>Medplum na własnej infrastrukturze w UE (adapter gotowy, ten sam język co aplikacja)</v>
      </c>
      <c r="P105" s="28" t="str">
        <f aca="false">IFERROR(INDEX(W1_WYBOR!$M$6:$M$80,MATCH($L105,W1_WYBOR!$A$6:$A$80,0)),"")</f>
        <v>Medplum w wysokiej dostępności (zarządzany PostgreSQL); opcjonalnie wsparcie Enterprise</v>
      </c>
      <c r="Q105" s="27" t="str">
        <f aca="false">IFERROR(INDEX(W1_WYBOR!$P$6:$P$80,MATCH($L105,W1_WYBOR!$A$6:$A$80,0)),"")</f>
        <v>DOPRECYZOWANIE</v>
      </c>
      <c r="R105" s="26"/>
      <c r="S105" s="26" t="str">
        <f aca="false">IFERROR(INDEX(W1_WYBOR!$V$6:$V$80,MATCH($L105,W1_WYBOR!$A$6:$A$80,0)),"")</f>
        <v>Zaimplementowane: repozytorium FHIR z trzema zapleczami (lokalne, Medplum przez SDK, dowolny FHIR R4); rezerwacja z If-Match</v>
      </c>
    </row>
    <row r="106" customFormat="false" ht="48.75" hidden="false" customHeight="true" outlineLevel="0" collapsed="false">
      <c r="A106" s="24" t="s">
        <v>1643</v>
      </c>
      <c r="B106" s="26" t="s">
        <v>1644</v>
      </c>
      <c r="C106" s="26" t="s">
        <v>1641</v>
      </c>
      <c r="D106" s="26" t="s">
        <v>1642</v>
      </c>
      <c r="E106" s="27" t="s">
        <v>1306</v>
      </c>
      <c r="F106" s="27" t="s">
        <v>1307</v>
      </c>
      <c r="G106" s="27" t="n">
        <v>5</v>
      </c>
      <c r="H106" s="26" t="s">
        <v>1351</v>
      </c>
      <c r="I106" s="27" t="s">
        <v>1645</v>
      </c>
      <c r="J106" s="26" t="s">
        <v>223</v>
      </c>
      <c r="K106" s="26" t="s">
        <v>1352</v>
      </c>
      <c r="L106" s="24" t="s">
        <v>221</v>
      </c>
      <c r="M106" s="26" t="str">
        <f aca="false">IFERROR(INDEX(W1_WYBOR!$B$6:$B$80,MATCH($L106,W1_WYBOR!$A$6:$A$80,0)),"")</f>
        <v>Rekord zdrowia — serwer FHIR R4</v>
      </c>
      <c r="N106" s="26" t="str">
        <f aca="false">IFERROR(INDEX(W1_WYBOR!$F$6:$F$80,MATCH($L106,W1_WYBOR!$A$6:$A$80,0)),"")</f>
        <v>BIERZEMY OPEN SOURCE + nasza warstwa</v>
      </c>
      <c r="O106" s="28" t="str">
        <f aca="false">IFERROR(INDEX(W1_WYBOR!$L$6:$L$80,MATCH($L106,W1_WYBOR!$A$6:$A$80,0)),"")</f>
        <v>Medplum na własnej infrastrukturze w UE (adapter gotowy, ten sam język co aplikacja)</v>
      </c>
      <c r="P106" s="28" t="str">
        <f aca="false">IFERROR(INDEX(W1_WYBOR!$M$6:$M$80,MATCH($L106,W1_WYBOR!$A$6:$A$80,0)),"")</f>
        <v>Medplum w wysokiej dostępności (zarządzany PostgreSQL); opcjonalnie wsparcie Enterprise</v>
      </c>
      <c r="Q106" s="27" t="str">
        <f aca="false">IFERROR(INDEX(W1_WYBOR!$P$6:$P$80,MATCH($L106,W1_WYBOR!$A$6:$A$80,0)),"")</f>
        <v>DOPRECYZOWANIE</v>
      </c>
      <c r="R106" s="26"/>
      <c r="S106" s="26" t="str">
        <f aca="false">IFERROR(INDEX(W1_WYBOR!$V$6:$V$80,MATCH($L106,W1_WYBOR!$A$6:$A$80,0)),"")</f>
        <v>Zaimplementowane: repozytorium FHIR z trzema zapleczami (lokalne, Medplum przez SDK, dowolny FHIR R4); rezerwacja z If-Match</v>
      </c>
    </row>
    <row r="107" customFormat="false" ht="48.75" hidden="false" customHeight="true" outlineLevel="0" collapsed="false">
      <c r="A107" s="24" t="s">
        <v>1646</v>
      </c>
      <c r="B107" s="26" t="s">
        <v>1647</v>
      </c>
      <c r="C107" s="26" t="s">
        <v>1641</v>
      </c>
      <c r="D107" s="26" t="s">
        <v>1642</v>
      </c>
      <c r="E107" s="27" t="s">
        <v>1306</v>
      </c>
      <c r="F107" s="27" t="s">
        <v>1307</v>
      </c>
      <c r="G107" s="27" t="n">
        <v>5</v>
      </c>
      <c r="H107" s="26" t="s">
        <v>1351</v>
      </c>
      <c r="I107" s="27" t="s">
        <v>1648</v>
      </c>
      <c r="J107" s="26" t="s">
        <v>223</v>
      </c>
      <c r="K107" s="26" t="s">
        <v>1352</v>
      </c>
      <c r="L107" s="24" t="s">
        <v>221</v>
      </c>
      <c r="M107" s="26" t="str">
        <f aca="false">IFERROR(INDEX(W1_WYBOR!$B$6:$B$80,MATCH($L107,W1_WYBOR!$A$6:$A$80,0)),"")</f>
        <v>Rekord zdrowia — serwer FHIR R4</v>
      </c>
      <c r="N107" s="26" t="str">
        <f aca="false">IFERROR(INDEX(W1_WYBOR!$F$6:$F$80,MATCH($L107,W1_WYBOR!$A$6:$A$80,0)),"")</f>
        <v>BIERZEMY OPEN SOURCE + nasza warstwa</v>
      </c>
      <c r="O107" s="28" t="str">
        <f aca="false">IFERROR(INDEX(W1_WYBOR!$L$6:$L$80,MATCH($L107,W1_WYBOR!$A$6:$A$80,0)),"")</f>
        <v>Medplum na własnej infrastrukturze w UE (adapter gotowy, ten sam język co aplikacja)</v>
      </c>
      <c r="P107" s="28" t="str">
        <f aca="false">IFERROR(INDEX(W1_WYBOR!$M$6:$M$80,MATCH($L107,W1_WYBOR!$A$6:$A$80,0)),"")</f>
        <v>Medplum w wysokiej dostępności (zarządzany PostgreSQL); opcjonalnie wsparcie Enterprise</v>
      </c>
      <c r="Q107" s="27" t="str">
        <f aca="false">IFERROR(INDEX(W1_WYBOR!$P$6:$P$80,MATCH($L107,W1_WYBOR!$A$6:$A$80,0)),"")</f>
        <v>DOPRECYZOWANIE</v>
      </c>
      <c r="R107" s="26"/>
      <c r="S107" s="26" t="str">
        <f aca="false">IFERROR(INDEX(W1_WYBOR!$V$6:$V$80,MATCH($L107,W1_WYBOR!$A$6:$A$80,0)),"")</f>
        <v>Zaimplementowane: repozytorium FHIR z trzema zapleczami (lokalne, Medplum przez SDK, dowolny FHIR R4); rezerwacja z If-Match</v>
      </c>
    </row>
    <row r="108" customFormat="false" ht="48.75" hidden="false" customHeight="true" outlineLevel="0" collapsed="false">
      <c r="A108" s="24" t="s">
        <v>1649</v>
      </c>
      <c r="B108" s="26" t="s">
        <v>1650</v>
      </c>
      <c r="C108" s="26" t="s">
        <v>1641</v>
      </c>
      <c r="D108" s="26" t="s">
        <v>1642</v>
      </c>
      <c r="E108" s="27" t="s">
        <v>1306</v>
      </c>
      <c r="F108" s="27" t="s">
        <v>1307</v>
      </c>
      <c r="G108" s="27" t="n">
        <v>5</v>
      </c>
      <c r="H108" s="26" t="s">
        <v>1351</v>
      </c>
      <c r="I108" s="27" t="s">
        <v>1651</v>
      </c>
      <c r="J108" s="26" t="s">
        <v>223</v>
      </c>
      <c r="K108" s="26" t="s">
        <v>1352</v>
      </c>
      <c r="L108" s="24" t="s">
        <v>221</v>
      </c>
      <c r="M108" s="26" t="str">
        <f aca="false">IFERROR(INDEX(W1_WYBOR!$B$6:$B$80,MATCH($L108,W1_WYBOR!$A$6:$A$80,0)),"")</f>
        <v>Rekord zdrowia — serwer FHIR R4</v>
      </c>
      <c r="N108" s="26" t="str">
        <f aca="false">IFERROR(INDEX(W1_WYBOR!$F$6:$F$80,MATCH($L108,W1_WYBOR!$A$6:$A$80,0)),"")</f>
        <v>BIERZEMY OPEN SOURCE + nasza warstwa</v>
      </c>
      <c r="O108" s="28" t="str">
        <f aca="false">IFERROR(INDEX(W1_WYBOR!$L$6:$L$80,MATCH($L108,W1_WYBOR!$A$6:$A$80,0)),"")</f>
        <v>Medplum na własnej infrastrukturze w UE (adapter gotowy, ten sam język co aplikacja)</v>
      </c>
      <c r="P108" s="28" t="str">
        <f aca="false">IFERROR(INDEX(W1_WYBOR!$M$6:$M$80,MATCH($L108,W1_WYBOR!$A$6:$A$80,0)),"")</f>
        <v>Medplum w wysokiej dostępności (zarządzany PostgreSQL); opcjonalnie wsparcie Enterprise</v>
      </c>
      <c r="Q108" s="27" t="str">
        <f aca="false">IFERROR(INDEX(W1_WYBOR!$P$6:$P$80,MATCH($L108,W1_WYBOR!$A$6:$A$80,0)),"")</f>
        <v>DOPRECYZOWANIE</v>
      </c>
      <c r="R108" s="26"/>
      <c r="S108" s="26" t="str">
        <f aca="false">IFERROR(INDEX(W1_WYBOR!$V$6:$V$80,MATCH($L108,W1_WYBOR!$A$6:$A$80,0)),"")</f>
        <v>Zaimplementowane: repozytorium FHIR z trzema zapleczami (lokalne, Medplum przez SDK, dowolny FHIR R4); rezerwacja z If-Match</v>
      </c>
    </row>
    <row r="109" customFormat="false" ht="37.5" hidden="false" customHeight="true" outlineLevel="0" collapsed="false">
      <c r="A109" s="24" t="s">
        <v>1652</v>
      </c>
      <c r="B109" s="26" t="s">
        <v>185</v>
      </c>
      <c r="C109" s="26" t="s">
        <v>1641</v>
      </c>
      <c r="D109" s="26" t="s">
        <v>1642</v>
      </c>
      <c r="E109" s="27" t="s">
        <v>1306</v>
      </c>
      <c r="F109" s="27" t="s">
        <v>1307</v>
      </c>
      <c r="G109" s="27" t="n">
        <v>2</v>
      </c>
      <c r="H109" s="26" t="s">
        <v>1409</v>
      </c>
      <c r="I109" s="27" t="s">
        <v>1309</v>
      </c>
      <c r="J109" s="26" t="s">
        <v>186</v>
      </c>
      <c r="K109" s="26" t="s">
        <v>1653</v>
      </c>
      <c r="L109" s="24" t="s">
        <v>184</v>
      </c>
      <c r="M109" s="26" t="str">
        <f aca="false">IFERROR(INDEX(W1_WYBOR!$B$6:$B$80,MATCH($L109,W1_WYBOR!$A$6:$A$80,0)),"")</f>
        <v>Niezmienialny dziennik zdarzeń</v>
      </c>
      <c r="N109" s="26" t="str">
        <f aca="false">IFERROR(INDEX(W1_WYBOR!$F$6:$F$80,MATCH($L109,W1_WYBOR!$A$6:$A$80,0)),"")</f>
        <v>WŁASNE na komponentach open source</v>
      </c>
      <c r="O109" s="28" t="str">
        <f aca="false">IFERROR(INDEX(W1_WYBOR!$L$6:$L$80,MATCH($L109,W1_WYBOR!$A$6:$A$80,0)),"")</f>
        <v>PostgreSQL tylko do dopisywania + łańcuch HMAC + codzienny eksport do magazynu z blokadą zapisu w UE</v>
      </c>
      <c r="P109" s="28" t="str">
        <f aca="false">IFERROR(INDEX(W1_WYBOR!$M$6:$M$80,MATCH($L109,W1_WYBOR!$A$6:$A$80,0)),"")</f>
        <v>+ codzienna kotwica skrótu poza naszą infrastrukturą</v>
      </c>
      <c r="Q109" s="27" t="str">
        <f aca="false">IFERROR(INDEX(W1_WYBOR!$P$6:$P$80,MATCH($L109,W1_WYBOR!$A$6:$A$80,0)),"")</f>
        <v>BEZ ZMIAN</v>
      </c>
      <c r="R109" s="26"/>
      <c r="S109" s="26" t="str">
        <f aca="false">IFERROR(INDEX(W1_WYBOR!$V$6:$V$80,MATCH($L109,W1_WYBOR!$A$6:$A$80,0)),"")</f>
        <v>Zaimplementowane: dziennik z łańcuchem HMAC, wyzwalacze blokujące zmiany, weryfikacja z CLI</v>
      </c>
    </row>
    <row r="110" customFormat="false" ht="25.5" hidden="false" customHeight="true" outlineLevel="0" collapsed="false">
      <c r="A110" s="24" t="s">
        <v>1654</v>
      </c>
      <c r="B110" s="26" t="s">
        <v>1655</v>
      </c>
      <c r="C110" s="26" t="s">
        <v>1641</v>
      </c>
      <c r="D110" s="26" t="s">
        <v>1656</v>
      </c>
      <c r="E110" s="27" t="s">
        <v>1306</v>
      </c>
      <c r="F110" s="27" t="s">
        <v>1386</v>
      </c>
      <c r="G110" s="27" t="n">
        <v>9</v>
      </c>
      <c r="H110" s="26" t="s">
        <v>1448</v>
      </c>
      <c r="I110" s="27" t="s">
        <v>1309</v>
      </c>
      <c r="J110" s="26" t="s">
        <v>1121</v>
      </c>
      <c r="K110" s="26" t="s">
        <v>151</v>
      </c>
      <c r="L110" s="24" t="s">
        <v>1119</v>
      </c>
      <c r="M110" s="26" t="str">
        <f aca="false">IFERROR(INDEX(W1_WYBOR!$B$6:$B$80,MATCH($L110,W1_WYBOR!$A$6:$A$80,0)),"")</f>
        <v>Funkcja własna na wspólnych komponentach (W2)</v>
      </c>
      <c r="N110" s="26" t="str">
        <f aca="false">IFERROR(INDEX(W1_WYBOR!$F$6:$F$80,MATCH($L110,W1_WYBOR!$A$6:$A$80,0)),"")</f>
        <v>WŁASNE na komponentach z W2</v>
      </c>
      <c r="O110" s="28" t="str">
        <f aca="false">IFERROR(INDEX(W1_WYBOR!$L$6:$L$80,MATCH($L110,W1_WYBOR!$A$6:$A$80,0)),"")</f>
        <v>Budujemy w aplikacji Eternal na komponentach W2</v>
      </c>
      <c r="P110" s="28" t="str">
        <f aca="false">IFERROR(INDEX(W1_WYBOR!$M$6:$M$80,MATCH($L110,W1_WYBOR!$A$6:$A$80,0)),"")</f>
        <v>Jak MVP</v>
      </c>
      <c r="Q110" s="27" t="str">
        <f aca="false">IFERROR(INDEX(W1_WYBOR!$P$6:$P$80,MATCH($L110,W1_WYBOR!$A$6:$A$80,0)),"")</f>
        <v>BEZ ZMIAN</v>
      </c>
      <c r="R110" s="26"/>
      <c r="S110" s="26" t="str">
        <f aca="false">IFERROR(INDEX(W1_WYBOR!$V$6:$V$80,MATCH($L110,W1_WYBOR!$A$6:$A$80,0)),"")</f>
        <v>Zob. kolumna uwag w W3</v>
      </c>
    </row>
    <row r="111" customFormat="false" ht="14.25" hidden="false" customHeight="true" outlineLevel="0" collapsed="false">
      <c r="A111" s="24" t="s">
        <v>1657</v>
      </c>
      <c r="B111" s="26" t="s">
        <v>1658</v>
      </c>
      <c r="C111" s="26" t="s">
        <v>1641</v>
      </c>
      <c r="D111" s="26" t="s">
        <v>1659</v>
      </c>
      <c r="E111" s="27" t="s">
        <v>1306</v>
      </c>
      <c r="F111" s="27" t="s">
        <v>1307</v>
      </c>
      <c r="G111" s="27" t="n">
        <v>39</v>
      </c>
      <c r="H111" s="26" t="s">
        <v>1660</v>
      </c>
      <c r="I111" s="27" t="s">
        <v>1309</v>
      </c>
      <c r="J111" s="26" t="s">
        <v>803</v>
      </c>
      <c r="K111" s="26" t="s">
        <v>807</v>
      </c>
      <c r="L111" s="24" t="s">
        <v>801</v>
      </c>
      <c r="M111" s="26" t="str">
        <f aca="false">IFERROR(INDEX(W1_WYBOR!$B$6:$B$80,MATCH($L111,W1_WYBOR!$A$6:$A$80,0)),"")</f>
        <v>Dane syntetyczne</v>
      </c>
      <c r="N111" s="26" t="str">
        <f aca="false">IFERROR(INDEX(W1_WYBOR!$F$6:$F$80,MATCH($L111,W1_WYBOR!$A$6:$A$80,0)),"")</f>
        <v>OPEN SOURCE</v>
      </c>
      <c r="O111" s="28" t="str">
        <f aca="false">IFERROR(INDEX(W1_WYBOR!$L$6:$L$80,MATCH($L111,W1_WYBOR!$A$6:$A$80,0)),"")</f>
        <v>Synthea (testy, demo bez danych pacjentów)</v>
      </c>
      <c r="P111" s="28" t="str">
        <f aca="false">IFERROR(INDEX(W1_WYBOR!$M$6:$M$80,MATCH($L111,W1_WYBOR!$A$6:$A$80,0)),"")</f>
        <v>Synthea z profilami PL</v>
      </c>
      <c r="Q111" s="27" t="str">
        <f aca="false">IFERROR(INDEX(W1_WYBOR!$P$6:$P$80,MATCH($L111,W1_WYBOR!$A$6:$A$80,0)),"")</f>
        <v>BEZ ZMIAN</v>
      </c>
      <c r="R111" s="26" t="s">
        <v>1661</v>
      </c>
      <c r="S111" s="26" t="str">
        <f aca="false">IFERROR(INDEX(W1_WYBOR!$V$6:$V$80,MATCH($L111,W1_WYBOR!$A$6:$A$80,0)),"")</f>
        <v>Dane demonstracyjne własne</v>
      </c>
    </row>
    <row r="112" customFormat="false" ht="25.5" hidden="false" customHeight="true" outlineLevel="0" collapsed="false">
      <c r="A112" s="24" t="s">
        <v>1662</v>
      </c>
      <c r="B112" s="26" t="s">
        <v>1663</v>
      </c>
      <c r="C112" s="26" t="s">
        <v>1641</v>
      </c>
      <c r="D112" s="26" t="s">
        <v>1664</v>
      </c>
      <c r="E112" s="27" t="s">
        <v>1306</v>
      </c>
      <c r="F112" s="27" t="s">
        <v>1307</v>
      </c>
      <c r="G112" s="27" t="n">
        <v>7</v>
      </c>
      <c r="H112" s="26" t="s">
        <v>1323</v>
      </c>
      <c r="I112" s="27" t="s">
        <v>1309</v>
      </c>
      <c r="J112" s="26" t="s">
        <v>1121</v>
      </c>
      <c r="K112" s="26" t="s">
        <v>151</v>
      </c>
      <c r="L112" s="24" t="s">
        <v>1119</v>
      </c>
      <c r="M112" s="26" t="str">
        <f aca="false">IFERROR(INDEX(W1_WYBOR!$B$6:$B$80,MATCH($L112,W1_WYBOR!$A$6:$A$80,0)),"")</f>
        <v>Funkcja własna na wspólnych komponentach (W2)</v>
      </c>
      <c r="N112" s="26" t="str">
        <f aca="false">IFERROR(INDEX(W1_WYBOR!$F$6:$F$80,MATCH($L112,W1_WYBOR!$A$6:$A$80,0)),"")</f>
        <v>WŁASNE na komponentach z W2</v>
      </c>
      <c r="O112" s="28" t="str">
        <f aca="false">IFERROR(INDEX(W1_WYBOR!$L$6:$L$80,MATCH($L112,W1_WYBOR!$A$6:$A$80,0)),"")</f>
        <v>Budujemy w aplikacji Eternal na komponentach W2</v>
      </c>
      <c r="P112" s="28" t="str">
        <f aca="false">IFERROR(INDEX(W1_WYBOR!$M$6:$M$80,MATCH($L112,W1_WYBOR!$A$6:$A$80,0)),"")</f>
        <v>Jak MVP</v>
      </c>
      <c r="Q112" s="27" t="str">
        <f aca="false">IFERROR(INDEX(W1_WYBOR!$P$6:$P$80,MATCH($L112,W1_WYBOR!$A$6:$A$80,0)),"")</f>
        <v>BEZ ZMIAN</v>
      </c>
      <c r="R112" s="26"/>
      <c r="S112" s="26" t="str">
        <f aca="false">IFERROR(INDEX(W1_WYBOR!$V$6:$V$80,MATCH($L112,W1_WYBOR!$A$6:$A$80,0)),"")</f>
        <v>Zob. kolumna uwag w W3</v>
      </c>
    </row>
    <row r="113" customFormat="false" ht="25.5" hidden="false" customHeight="true" outlineLevel="0" collapsed="false">
      <c r="A113" s="24" t="s">
        <v>1665</v>
      </c>
      <c r="B113" s="26" t="s">
        <v>1666</v>
      </c>
      <c r="C113" s="26" t="s">
        <v>1667</v>
      </c>
      <c r="D113" s="26" t="s">
        <v>1668</v>
      </c>
      <c r="E113" s="27" t="s">
        <v>1306</v>
      </c>
      <c r="F113" s="27" t="s">
        <v>1307</v>
      </c>
      <c r="G113" s="27" t="n">
        <v>42</v>
      </c>
      <c r="H113" s="26" t="s">
        <v>1669</v>
      </c>
      <c r="I113" s="27" t="s">
        <v>1309</v>
      </c>
      <c r="J113" s="26" t="s">
        <v>816</v>
      </c>
      <c r="K113" s="26" t="s">
        <v>1670</v>
      </c>
      <c r="L113" s="24" t="s">
        <v>814</v>
      </c>
      <c r="M113" s="26" t="str">
        <f aca="false">IFERROR(INDEX(W1_WYBOR!$B$6:$B$80,MATCH($L113,W1_WYBOR!$A$6:$A$80,0)),"")</f>
        <v>Nabór i ocena projektów (Hub)</v>
      </c>
      <c r="N113" s="26" t="str">
        <f aca="false">IFERROR(INDEX(W1_WYBOR!$F$6:$F$80,MATCH($L113,W1_WYBOR!$A$6:$A$80,0)),"")</f>
        <v>USŁUGA BEZPŁATNA / OPEN SOURCE</v>
      </c>
      <c r="O113" s="28" t="str">
        <f aca="false">IFERROR(INDEX(W1_WYBOR!$L$6:$L$80,MATCH($L113,W1_WYBOR!$A$6:$A$80,0)),"")</f>
        <v>HubSpot Free (bez danych o zdrowiu)</v>
      </c>
      <c r="P113" s="28" t="str">
        <f aca="false">IFERROR(INDEX(W1_WYBOR!$M$6:$M$80,MATCH($L113,W1_WYBOR!$A$6:$A$80,0)),"")</f>
        <v>HubSpot albo Twenty u nas</v>
      </c>
      <c r="Q113" s="27" t="str">
        <f aca="false">IFERROR(INDEX(W1_WYBOR!$P$6:$P$80,MATCH($L113,W1_WYBOR!$A$6:$A$80,0)),"")</f>
        <v>BEZ ZMIAN</v>
      </c>
      <c r="R113" s="26"/>
      <c r="S113" s="26" t="str">
        <f aca="false">IFERROR(INDEX(W1_WYBOR!$V$6:$V$80,MATCH($L113,W1_WYBOR!$A$6:$A$80,0)),"")</f>
        <v>Brak</v>
      </c>
    </row>
    <row r="114" customFormat="false" ht="25.5" hidden="false" customHeight="true" outlineLevel="0" collapsed="false">
      <c r="A114" s="24" t="s">
        <v>1671</v>
      </c>
      <c r="B114" s="26" t="s">
        <v>1672</v>
      </c>
      <c r="C114" s="26" t="s">
        <v>1667</v>
      </c>
      <c r="D114" s="26" t="s">
        <v>1668</v>
      </c>
      <c r="E114" s="27" t="s">
        <v>1306</v>
      </c>
      <c r="F114" s="27" t="s">
        <v>1307</v>
      </c>
      <c r="G114" s="27" t="n">
        <v>42</v>
      </c>
      <c r="H114" s="26" t="s">
        <v>1669</v>
      </c>
      <c r="I114" s="27" t="s">
        <v>1309</v>
      </c>
      <c r="J114" s="26" t="s">
        <v>1121</v>
      </c>
      <c r="K114" s="26" t="s">
        <v>151</v>
      </c>
      <c r="L114" s="24" t="s">
        <v>1119</v>
      </c>
      <c r="M114" s="26" t="str">
        <f aca="false">IFERROR(INDEX(W1_WYBOR!$B$6:$B$80,MATCH($L114,W1_WYBOR!$A$6:$A$80,0)),"")</f>
        <v>Funkcja własna na wspólnych komponentach (W2)</v>
      </c>
      <c r="N114" s="26" t="str">
        <f aca="false">IFERROR(INDEX(W1_WYBOR!$F$6:$F$80,MATCH($L114,W1_WYBOR!$A$6:$A$80,0)),"")</f>
        <v>WŁASNE na komponentach z W2</v>
      </c>
      <c r="O114" s="28" t="str">
        <f aca="false">IFERROR(INDEX(W1_WYBOR!$L$6:$L$80,MATCH($L114,W1_WYBOR!$A$6:$A$80,0)),"")</f>
        <v>Budujemy w aplikacji Eternal na komponentach W2</v>
      </c>
      <c r="P114" s="28" t="str">
        <f aca="false">IFERROR(INDEX(W1_WYBOR!$M$6:$M$80,MATCH($L114,W1_WYBOR!$A$6:$A$80,0)),"")</f>
        <v>Jak MVP</v>
      </c>
      <c r="Q114" s="27" t="str">
        <f aca="false">IFERROR(INDEX(W1_WYBOR!$P$6:$P$80,MATCH($L114,W1_WYBOR!$A$6:$A$80,0)),"")</f>
        <v>BEZ ZMIAN</v>
      </c>
      <c r="R114" s="26"/>
      <c r="S114" s="26" t="str">
        <f aca="false">IFERROR(INDEX(W1_WYBOR!$V$6:$V$80,MATCH($L114,W1_WYBOR!$A$6:$A$80,0)),"")</f>
        <v>Zob. kolumna uwag w W3</v>
      </c>
    </row>
    <row r="115" customFormat="false" ht="25.5" hidden="false" customHeight="true" outlineLevel="0" collapsed="false">
      <c r="A115" s="24" t="s">
        <v>1673</v>
      </c>
      <c r="B115" s="26" t="s">
        <v>1674</v>
      </c>
      <c r="C115" s="26" t="s">
        <v>1675</v>
      </c>
      <c r="D115" s="26" t="s">
        <v>1676</v>
      </c>
      <c r="E115" s="27" t="s">
        <v>1306</v>
      </c>
      <c r="F115" s="27" t="s">
        <v>1307</v>
      </c>
      <c r="G115" s="27" t="n">
        <v>50</v>
      </c>
      <c r="H115" s="26" t="s">
        <v>1677</v>
      </c>
      <c r="I115" s="27" t="s">
        <v>1309</v>
      </c>
      <c r="J115" s="26" t="s">
        <v>1121</v>
      </c>
      <c r="K115" s="26" t="s">
        <v>151</v>
      </c>
      <c r="L115" s="24" t="s">
        <v>1119</v>
      </c>
      <c r="M115" s="26" t="str">
        <f aca="false">IFERROR(INDEX(W1_WYBOR!$B$6:$B$80,MATCH($L115,W1_WYBOR!$A$6:$A$80,0)),"")</f>
        <v>Funkcja własna na wspólnych komponentach (W2)</v>
      </c>
      <c r="N115" s="26" t="str">
        <f aca="false">IFERROR(INDEX(W1_WYBOR!$F$6:$F$80,MATCH($L115,W1_WYBOR!$A$6:$A$80,0)),"")</f>
        <v>WŁASNE na komponentach z W2</v>
      </c>
      <c r="O115" s="28" t="str">
        <f aca="false">IFERROR(INDEX(W1_WYBOR!$L$6:$L$80,MATCH($L115,W1_WYBOR!$A$6:$A$80,0)),"")</f>
        <v>Budujemy w aplikacji Eternal na komponentach W2</v>
      </c>
      <c r="P115" s="28" t="str">
        <f aca="false">IFERROR(INDEX(W1_WYBOR!$M$6:$M$80,MATCH($L115,W1_WYBOR!$A$6:$A$80,0)),"")</f>
        <v>Jak MVP</v>
      </c>
      <c r="Q115" s="27" t="str">
        <f aca="false">IFERROR(INDEX(W1_WYBOR!$P$6:$P$80,MATCH($L115,W1_WYBOR!$A$6:$A$80,0)),"")</f>
        <v>BEZ ZMIAN</v>
      </c>
      <c r="R115" s="26" t="s">
        <v>1678</v>
      </c>
      <c r="S115" s="26" t="str">
        <f aca="false">IFERROR(INDEX(W1_WYBOR!$V$6:$V$80,MATCH($L115,W1_WYBOR!$A$6:$A$80,0)),"")</f>
        <v>Zob. kolumna uwag w W3</v>
      </c>
    </row>
    <row r="116" customFormat="false" ht="25.5" hidden="false" customHeight="true" outlineLevel="0" collapsed="false">
      <c r="A116" s="24" t="s">
        <v>1679</v>
      </c>
      <c r="B116" s="26" t="s">
        <v>1680</v>
      </c>
      <c r="C116" s="26" t="s">
        <v>1675</v>
      </c>
      <c r="D116" s="26" t="s">
        <v>1676</v>
      </c>
      <c r="E116" s="27" t="s">
        <v>1306</v>
      </c>
      <c r="F116" s="27" t="s">
        <v>1307</v>
      </c>
      <c r="G116" s="27" t="n">
        <v>50</v>
      </c>
      <c r="H116" s="26" t="s">
        <v>1677</v>
      </c>
      <c r="I116" s="27" t="s">
        <v>1309</v>
      </c>
      <c r="J116" s="26" t="s">
        <v>1121</v>
      </c>
      <c r="K116" s="26" t="s">
        <v>151</v>
      </c>
      <c r="L116" s="24" t="s">
        <v>1119</v>
      </c>
      <c r="M116" s="26" t="str">
        <f aca="false">IFERROR(INDEX(W1_WYBOR!$B$6:$B$80,MATCH($L116,W1_WYBOR!$A$6:$A$80,0)),"")</f>
        <v>Funkcja własna na wspólnych komponentach (W2)</v>
      </c>
      <c r="N116" s="26" t="str">
        <f aca="false">IFERROR(INDEX(W1_WYBOR!$F$6:$F$80,MATCH($L116,W1_WYBOR!$A$6:$A$80,0)),"")</f>
        <v>WŁASNE na komponentach z W2</v>
      </c>
      <c r="O116" s="28" t="str">
        <f aca="false">IFERROR(INDEX(W1_WYBOR!$L$6:$L$80,MATCH($L116,W1_WYBOR!$A$6:$A$80,0)),"")</f>
        <v>Budujemy w aplikacji Eternal na komponentach W2</v>
      </c>
      <c r="P116" s="28" t="str">
        <f aca="false">IFERROR(INDEX(W1_WYBOR!$M$6:$M$80,MATCH($L116,W1_WYBOR!$A$6:$A$80,0)),"")</f>
        <v>Jak MVP</v>
      </c>
      <c r="Q116" s="27" t="str">
        <f aca="false">IFERROR(INDEX(W1_WYBOR!$P$6:$P$80,MATCH($L116,W1_WYBOR!$A$6:$A$80,0)),"")</f>
        <v>BEZ ZMIAN</v>
      </c>
      <c r="R116" s="26"/>
      <c r="S116" s="26" t="str">
        <f aca="false">IFERROR(INDEX(W1_WYBOR!$V$6:$V$80,MATCH($L116,W1_WYBOR!$A$6:$A$80,0)),"")</f>
        <v>Zob. kolumna uwag w W3</v>
      </c>
    </row>
    <row r="117" customFormat="false" ht="37.5" hidden="false" customHeight="true" outlineLevel="0" collapsed="false">
      <c r="A117" s="24" t="s">
        <v>1681</v>
      </c>
      <c r="B117" s="26" t="s">
        <v>1682</v>
      </c>
      <c r="C117" s="26" t="s">
        <v>1675</v>
      </c>
      <c r="D117" s="26" t="s">
        <v>1676</v>
      </c>
      <c r="E117" s="27" t="s">
        <v>1306</v>
      </c>
      <c r="F117" s="27" t="s">
        <v>1307</v>
      </c>
      <c r="G117" s="27" t="n">
        <v>50</v>
      </c>
      <c r="H117" s="26" t="s">
        <v>1677</v>
      </c>
      <c r="I117" s="27" t="s">
        <v>1309</v>
      </c>
      <c r="J117" s="26" t="s">
        <v>774</v>
      </c>
      <c r="K117" s="26" t="s">
        <v>1683</v>
      </c>
      <c r="L117" s="24" t="s">
        <v>772</v>
      </c>
      <c r="M117" s="26" t="str">
        <f aca="false">IFERROR(INDEX(W1_WYBOR!$B$6:$B$80,MATCH($L117,W1_WYBOR!$A$6:$A$80,0)),"")</f>
        <v>Nadzór nad AI (logi, wersje poleceń, testy)</v>
      </c>
      <c r="N117" s="26" t="str">
        <f aca="false">IFERROR(INDEX(W1_WYBOR!$F$6:$F$80,MATCH($L117,W1_WYBOR!$A$6:$A$80,0)),"")</f>
        <v>OPEN SOURCE u nas</v>
      </c>
      <c r="O117" s="28" t="str">
        <f aca="false">IFERROR(INDEX(W1_WYBOR!$L$6:$L$80,MATCH($L117,W1_WYBOR!$A$6:$A$80,0)),"")</f>
        <v>Langfuse na naszym serwerze (logi zapytań, wersje poleceń, oceny) + promptfoo w CI</v>
      </c>
      <c r="P117" s="28" t="str">
        <f aca="false">IFERROR(INDEX(W1_WYBOR!$M$6:$M$80,MATCH($L117,W1_WYBOR!$A$6:$A$80,0)),"")</f>
        <v>+ MLflow, gdy pojawią się własne modele</v>
      </c>
      <c r="Q117" s="27" t="str">
        <f aca="false">IFERROR(INDEX(W1_WYBOR!$P$6:$P$80,MATCH($L117,W1_WYBOR!$A$6:$A$80,0)),"")</f>
        <v>ZMIANA</v>
      </c>
      <c r="R117" s="26" t="s">
        <v>1684</v>
      </c>
      <c r="S117" s="26" t="str">
        <f aca="false">IFERROR(INDEX(W1_WYBOR!$V$6:$V$80,MATCH($L117,W1_WYBOR!$A$6:$A$80,0)),"")</f>
        <v>Brak</v>
      </c>
    </row>
    <row r="118" customFormat="false" ht="37.5" hidden="false" customHeight="true" outlineLevel="0" collapsed="false">
      <c r="A118" s="24" t="s">
        <v>1685</v>
      </c>
      <c r="B118" s="26" t="s">
        <v>1686</v>
      </c>
      <c r="C118" s="26" t="s">
        <v>1675</v>
      </c>
      <c r="D118" s="26" t="s">
        <v>1676</v>
      </c>
      <c r="E118" s="27" t="s">
        <v>1306</v>
      </c>
      <c r="F118" s="27" t="s">
        <v>1307</v>
      </c>
      <c r="G118" s="27" t="n">
        <v>49</v>
      </c>
      <c r="H118" s="26" t="s">
        <v>1687</v>
      </c>
      <c r="I118" s="27" t="s">
        <v>1309</v>
      </c>
      <c r="J118" s="26" t="s">
        <v>1121</v>
      </c>
      <c r="K118" s="26" t="s">
        <v>151</v>
      </c>
      <c r="L118" s="24" t="s">
        <v>1119</v>
      </c>
      <c r="M118" s="26" t="str">
        <f aca="false">IFERROR(INDEX(W1_WYBOR!$B$6:$B$80,MATCH($L118,W1_WYBOR!$A$6:$A$80,0)),"")</f>
        <v>Funkcja własna na wspólnych komponentach (W2)</v>
      </c>
      <c r="N118" s="26" t="str">
        <f aca="false">IFERROR(INDEX(W1_WYBOR!$F$6:$F$80,MATCH($L118,W1_WYBOR!$A$6:$A$80,0)),"")</f>
        <v>WŁASNE na komponentach z W2</v>
      </c>
      <c r="O118" s="28" t="str">
        <f aca="false">IFERROR(INDEX(W1_WYBOR!$L$6:$L$80,MATCH($L118,W1_WYBOR!$A$6:$A$80,0)),"")</f>
        <v>Budujemy w aplikacji Eternal na komponentach W2</v>
      </c>
      <c r="P118" s="28" t="str">
        <f aca="false">IFERROR(INDEX(W1_WYBOR!$M$6:$M$80,MATCH($L118,W1_WYBOR!$A$6:$A$80,0)),"")</f>
        <v>Jak MVP</v>
      </c>
      <c r="Q118" s="27" t="str">
        <f aca="false">IFERROR(INDEX(W1_WYBOR!$P$6:$P$80,MATCH($L118,W1_WYBOR!$A$6:$A$80,0)),"")</f>
        <v>BEZ ZMIAN</v>
      </c>
      <c r="R118" s="26"/>
      <c r="S118" s="26" t="str">
        <f aca="false">IFERROR(INDEX(W1_WYBOR!$V$6:$V$80,MATCH($L118,W1_WYBOR!$A$6:$A$80,0)),"")</f>
        <v>Zob. kolumna uwag w W3</v>
      </c>
    </row>
    <row r="119" customFormat="false" ht="37.5" hidden="false" customHeight="true" outlineLevel="0" collapsed="false">
      <c r="A119" s="24" t="s">
        <v>1688</v>
      </c>
      <c r="B119" s="26" t="s">
        <v>1689</v>
      </c>
      <c r="C119" s="26" t="s">
        <v>1675</v>
      </c>
      <c r="D119" s="26" t="s">
        <v>1676</v>
      </c>
      <c r="E119" s="27" t="s">
        <v>1306</v>
      </c>
      <c r="F119" s="27" t="s">
        <v>1307</v>
      </c>
      <c r="G119" s="27" t="n">
        <v>49</v>
      </c>
      <c r="H119" s="26" t="s">
        <v>1687</v>
      </c>
      <c r="I119" s="27" t="s">
        <v>1309</v>
      </c>
      <c r="J119" s="26" t="s">
        <v>1690</v>
      </c>
      <c r="K119" s="26" t="s">
        <v>1691</v>
      </c>
      <c r="L119" s="24" t="s">
        <v>787</v>
      </c>
      <c r="M119" s="26" t="str">
        <f aca="false">IFERROR(INDEX(W1_WYBOR!$B$6:$B$80,MATCH($L119,W1_WYBOR!$A$6:$A$80,0)),"")</f>
        <v>Usługi prawne i regulacyjne (MDR, notariusz)</v>
      </c>
      <c r="N119" s="26" t="str">
        <f aca="false">IFERROR(INDEX(W1_WYBOR!$F$6:$F$80,MATCH($L119,W1_WYBOR!$A$6:$A$80,0)),"")</f>
        <v>POŚREDNICTWO PARTNERA (ludzie)</v>
      </c>
      <c r="O119" s="28" t="str">
        <f aca="false">IFERROR(INDEX(W1_WYBOR!$L$6:$L$80,MATCH($L119,W1_WYBOR!$A$6:$A$80,0)),"")</f>
        <v>Kwalifikacja MDR i deklaracja przeznaczenia przez kancelarię (jednorazowo); dokumenty przez /dokument</v>
      </c>
      <c r="P119" s="28" t="str">
        <f aca="false">IFERROR(INDEX(W1_WYBOR!$M$6:$M$80,MATCH($L119,W1_WYBOR!$A$6:$A$80,0)),"")</f>
        <v>Jak MVP + przegląd roczny</v>
      </c>
      <c r="Q119" s="27" t="str">
        <f aca="false">IFERROR(INDEX(W1_WYBOR!$P$6:$P$80,MATCH($L119,W1_WYBOR!$A$6:$A$80,0)),"")</f>
        <v>BEZ ZMIAN</v>
      </c>
      <c r="R119" s="26"/>
      <c r="S119" s="26" t="str">
        <f aca="false">IFERROR(INDEX(W1_WYBOR!$V$6:$V$80,MATCH($L119,W1_WYBOR!$A$6:$A$80,0)),"")</f>
        <v>COMPLIANCE.md opisuje granicę MDR</v>
      </c>
    </row>
    <row r="120" customFormat="false" ht="37.5" hidden="false" customHeight="true" outlineLevel="0" collapsed="false">
      <c r="A120" s="24" t="s">
        <v>1692</v>
      </c>
      <c r="B120" s="26" t="s">
        <v>1693</v>
      </c>
      <c r="C120" s="26" t="s">
        <v>1675</v>
      </c>
      <c r="D120" s="26" t="s">
        <v>1676</v>
      </c>
      <c r="E120" s="27" t="s">
        <v>1306</v>
      </c>
      <c r="F120" s="27" t="s">
        <v>1307</v>
      </c>
      <c r="G120" s="27" t="n">
        <v>49</v>
      </c>
      <c r="H120" s="26" t="s">
        <v>1687</v>
      </c>
      <c r="I120" s="27" t="s">
        <v>1309</v>
      </c>
      <c r="J120" s="26" t="s">
        <v>758</v>
      </c>
      <c r="K120" s="26" t="s">
        <v>1694</v>
      </c>
      <c r="L120" s="24" t="s">
        <v>756</v>
      </c>
      <c r="M120" s="26" t="str">
        <f aca="false">IFERROR(INDEX(W1_WYBOR!$B$6:$B$80,MATCH($L120,W1_WYBOR!$A$6:$A$80,0)),"")</f>
        <v>Zgłoszenia użytkowników i incydenty</v>
      </c>
      <c r="N120" s="26" t="str">
        <f aca="false">IFERROR(INDEX(W1_WYBOR!$F$6:$F$80,MATCH($L120,W1_WYBOR!$A$6:$A$80,0)),"")</f>
        <v>OPEN SOURCE / usługa z UE</v>
      </c>
      <c r="O120" s="28" t="str">
        <f aca="false">IFERROR(INDEX(W1_WYBOR!$L$6:$L$80,MATCH($L120,W1_WYBOR!$A$6:$A$80,0)),"")</f>
        <v>Zammad Cloud Starter (hosting w DE) + formularz incydentu w aplikacji</v>
      </c>
      <c r="P120" s="28" t="str">
        <f aca="false">IFERROR(INDEX(W1_WYBOR!$M$6:$M$80,MATCH($L120,W1_WYBOR!$A$6:$A$80,0)),"")</f>
        <v>Zammad Professional</v>
      </c>
      <c r="Q120" s="27" t="str">
        <f aca="false">IFERROR(INDEX(W1_WYBOR!$P$6:$P$80,MATCH($L120,W1_WYBOR!$A$6:$A$80,0)),"")</f>
        <v>BEZ ZMIAN</v>
      </c>
      <c r="R120" s="26"/>
      <c r="S120" s="26" t="str">
        <f aca="false">IFERROR(INDEX(W1_WYBOR!$V$6:$V$80,MATCH($L120,W1_WYBOR!$A$6:$A$80,0)),"")</f>
        <v>Brak</v>
      </c>
    </row>
    <row r="121" customFormat="false" ht="37.5" hidden="false" customHeight="true" outlineLevel="0" collapsed="false">
      <c r="A121" s="24" t="s">
        <v>1695</v>
      </c>
      <c r="B121" s="26" t="s">
        <v>1696</v>
      </c>
      <c r="C121" s="26" t="s">
        <v>1675</v>
      </c>
      <c r="D121" s="26" t="s">
        <v>1676</v>
      </c>
      <c r="E121" s="27" t="s">
        <v>1306</v>
      </c>
      <c r="F121" s="27" t="s">
        <v>1307</v>
      </c>
      <c r="G121" s="27" t="n">
        <v>49</v>
      </c>
      <c r="H121" s="26" t="s">
        <v>1687</v>
      </c>
      <c r="I121" s="27" t="s">
        <v>1309</v>
      </c>
      <c r="J121" s="26" t="s">
        <v>726</v>
      </c>
      <c r="K121" s="26" t="s">
        <v>1697</v>
      </c>
      <c r="L121" s="24" t="s">
        <v>724</v>
      </c>
      <c r="M121" s="26" t="str">
        <f aca="false">IFERROR(INDEX(W1_WYBOR!$B$6:$B$80,MATCH($L121,W1_WYBOR!$A$6:$A$80,0)),"")</f>
        <v>Flagi funkcji i wersje per kraj/klinika</v>
      </c>
      <c r="N121" s="26" t="str">
        <f aca="false">IFERROR(INDEX(W1_WYBOR!$F$6:$F$80,MATCH($L121,W1_WYBOR!$A$6:$A$80,0)),"")</f>
        <v>OPEN SOURCE u nas</v>
      </c>
      <c r="O121" s="28" t="str">
        <f aca="false">IFERROR(INDEX(W1_WYBOR!$L$6:$L$80,MATCH($L121,W1_WYBOR!$A$6:$A$80,0)),"")</f>
        <v>Unleash na naszym serwerze w UE</v>
      </c>
      <c r="P121" s="28" t="str">
        <f aca="false">IFERROR(INDEX(W1_WYBOR!$M$6:$M$80,MATCH($L121,W1_WYBOR!$A$6:$A$80,0)),"")</f>
        <v>Jak MVP</v>
      </c>
      <c r="Q121" s="27" t="str">
        <f aca="false">IFERROR(INDEX(W1_WYBOR!$P$6:$P$80,MATCH($L121,W1_WYBOR!$A$6:$A$80,0)),"")</f>
        <v>BEZ ZMIAN</v>
      </c>
      <c r="R121" s="26"/>
      <c r="S121" s="26" t="str">
        <f aca="false">IFERROR(INDEX(W1_WYBOR!$V$6:$V$80,MATCH($L121,W1_WYBOR!$A$6:$A$80,0)),"")</f>
        <v>Częściowo: przełączniki integracji w konfiguracji</v>
      </c>
    </row>
    <row r="122" customFormat="false" ht="37.5" hidden="false" customHeight="true" outlineLevel="0" collapsed="false">
      <c r="A122" s="24" t="s">
        <v>1698</v>
      </c>
      <c r="B122" s="26" t="s">
        <v>1699</v>
      </c>
      <c r="C122" s="26" t="s">
        <v>1675</v>
      </c>
      <c r="D122" s="26" t="s">
        <v>1676</v>
      </c>
      <c r="E122" s="27" t="s">
        <v>1306</v>
      </c>
      <c r="F122" s="27" t="s">
        <v>1307</v>
      </c>
      <c r="G122" s="27" t="n">
        <v>49</v>
      </c>
      <c r="H122" s="26" t="s">
        <v>1687</v>
      </c>
      <c r="I122" s="27" t="s">
        <v>1309</v>
      </c>
      <c r="J122" s="26" t="s">
        <v>726</v>
      </c>
      <c r="K122" s="26" t="s">
        <v>1697</v>
      </c>
      <c r="L122" s="24" t="s">
        <v>724</v>
      </c>
      <c r="M122" s="26" t="str">
        <f aca="false">IFERROR(INDEX(W1_WYBOR!$B$6:$B$80,MATCH($L122,W1_WYBOR!$A$6:$A$80,0)),"")</f>
        <v>Flagi funkcji i wersje per kraj/klinika</v>
      </c>
      <c r="N122" s="26" t="str">
        <f aca="false">IFERROR(INDEX(W1_WYBOR!$F$6:$F$80,MATCH($L122,W1_WYBOR!$A$6:$A$80,0)),"")</f>
        <v>OPEN SOURCE u nas</v>
      </c>
      <c r="O122" s="28" t="str">
        <f aca="false">IFERROR(INDEX(W1_WYBOR!$L$6:$L$80,MATCH($L122,W1_WYBOR!$A$6:$A$80,0)),"")</f>
        <v>Unleash na naszym serwerze w UE</v>
      </c>
      <c r="P122" s="28" t="str">
        <f aca="false">IFERROR(INDEX(W1_WYBOR!$M$6:$M$80,MATCH($L122,W1_WYBOR!$A$6:$A$80,0)),"")</f>
        <v>Jak MVP</v>
      </c>
      <c r="Q122" s="27" t="str">
        <f aca="false">IFERROR(INDEX(W1_WYBOR!$P$6:$P$80,MATCH($L122,W1_WYBOR!$A$6:$A$80,0)),"")</f>
        <v>BEZ ZMIAN</v>
      </c>
      <c r="R122" s="26"/>
      <c r="S122" s="26" t="str">
        <f aca="false">IFERROR(INDEX(W1_WYBOR!$V$6:$V$80,MATCH($L122,W1_WYBOR!$A$6:$A$80,0)),"")</f>
        <v>Częściowo: przełączniki integracji w konfiguracji</v>
      </c>
    </row>
    <row r="123" customFormat="false" ht="37.5" hidden="false" customHeight="true" outlineLevel="0" collapsed="false">
      <c r="A123" s="24" t="s">
        <v>1700</v>
      </c>
      <c r="B123" s="26" t="s">
        <v>1701</v>
      </c>
      <c r="C123" s="26" t="s">
        <v>1675</v>
      </c>
      <c r="D123" s="26" t="s">
        <v>1676</v>
      </c>
      <c r="E123" s="27" t="s">
        <v>1306</v>
      </c>
      <c r="F123" s="27" t="s">
        <v>1307</v>
      </c>
      <c r="G123" s="27" t="n">
        <v>49</v>
      </c>
      <c r="H123" s="26" t="s">
        <v>1687</v>
      </c>
      <c r="I123" s="27" t="s">
        <v>1309</v>
      </c>
      <c r="J123" s="26" t="s">
        <v>740</v>
      </c>
      <c r="K123" s="26" t="s">
        <v>1702</v>
      </c>
      <c r="L123" s="24" t="s">
        <v>738</v>
      </c>
      <c r="M123" s="26" t="str">
        <f aca="false">IFERROR(INDEX(W1_WYBOR!$B$6:$B$80,MATCH($L123,W1_WYBOR!$A$6:$A$80,0)),"")</f>
        <v>Bezpieczeństwo oprogramowania (SBOM, podatności, sekrety)</v>
      </c>
      <c r="N123" s="26" t="str">
        <f aca="false">IFERROR(INDEX(W1_WYBOR!$F$6:$F$80,MATCH($L123,W1_WYBOR!$A$6:$A$80,0)),"")</f>
        <v>OPEN SOURCE + usługi bezpłatne</v>
      </c>
      <c r="O123" s="28" t="str">
        <f aca="false">IFERROR(INDEX(W1_WYBOR!$L$6:$L$80,MATCH($L123,W1_WYBOR!$A$6:$A$80,0)),"")</f>
        <v>Dependabot + OSV-Scanner + Syft (SBOM CycloneDX) + Grype + Gitleaks; akcje CI przypięte do skrótu commita; sekrety w menedżerze chmury</v>
      </c>
      <c r="P123" s="28" t="str">
        <f aca="false">IFERROR(INDEX(W1_WYBOR!$M$6:$M$80,MATCH($L123,W1_WYBOR!$A$6:$A$80,0)),"")</f>
        <v>+ Dependency-Track (portfel SBOM), testy penetracyjne</v>
      </c>
      <c r="Q123" s="27" t="str">
        <f aca="false">IFERROR(INDEX(W1_WYBOR!$P$6:$P$80,MATCH($L123,W1_WYBOR!$A$6:$A$80,0)),"")</f>
        <v>ZMIANA</v>
      </c>
      <c r="R123" s="26" t="s">
        <v>1703</v>
      </c>
      <c r="S123" s="26" t="str">
        <f aca="false">IFERROR(INDEX(W1_WYBOR!$V$6:$V$80,MATCH($L123,W1_WYBOR!$A$6:$A$80,0)),"")</f>
        <v>Brak w CI — do dodania</v>
      </c>
    </row>
    <row r="124" customFormat="false" ht="37.5" hidden="false" customHeight="true" outlineLevel="0" collapsed="false">
      <c r="A124" s="24" t="s">
        <v>1704</v>
      </c>
      <c r="B124" s="26" t="s">
        <v>1705</v>
      </c>
      <c r="C124" s="26" t="s">
        <v>1675</v>
      </c>
      <c r="D124" s="26" t="s">
        <v>1676</v>
      </c>
      <c r="E124" s="27" t="s">
        <v>1306</v>
      </c>
      <c r="F124" s="27" t="s">
        <v>1307</v>
      </c>
      <c r="G124" s="27" t="n">
        <v>2</v>
      </c>
      <c r="H124" s="26" t="s">
        <v>1409</v>
      </c>
      <c r="I124" s="27" t="s">
        <v>1309</v>
      </c>
      <c r="J124" s="26" t="s">
        <v>186</v>
      </c>
      <c r="K124" s="26" t="s">
        <v>1653</v>
      </c>
      <c r="L124" s="24" t="s">
        <v>184</v>
      </c>
      <c r="M124" s="26" t="str">
        <f aca="false">IFERROR(INDEX(W1_WYBOR!$B$6:$B$80,MATCH($L124,W1_WYBOR!$A$6:$A$80,0)),"")</f>
        <v>Niezmienialny dziennik zdarzeń</v>
      </c>
      <c r="N124" s="26" t="str">
        <f aca="false">IFERROR(INDEX(W1_WYBOR!$F$6:$F$80,MATCH($L124,W1_WYBOR!$A$6:$A$80,0)),"")</f>
        <v>WŁASNE na komponentach open source</v>
      </c>
      <c r="O124" s="28" t="str">
        <f aca="false">IFERROR(INDEX(W1_WYBOR!$L$6:$L$80,MATCH($L124,W1_WYBOR!$A$6:$A$80,0)),"")</f>
        <v>PostgreSQL tylko do dopisywania + łańcuch HMAC + codzienny eksport do magazynu z blokadą zapisu w UE</v>
      </c>
      <c r="P124" s="28" t="str">
        <f aca="false">IFERROR(INDEX(W1_WYBOR!$M$6:$M$80,MATCH($L124,W1_WYBOR!$A$6:$A$80,0)),"")</f>
        <v>+ codzienna kotwica skrótu poza naszą infrastrukturą</v>
      </c>
      <c r="Q124" s="27" t="str">
        <f aca="false">IFERROR(INDEX(W1_WYBOR!$P$6:$P$80,MATCH($L124,W1_WYBOR!$A$6:$A$80,0)),"")</f>
        <v>BEZ ZMIAN</v>
      </c>
      <c r="R124" s="26"/>
      <c r="S124" s="26" t="str">
        <f aca="false">IFERROR(INDEX(W1_WYBOR!$V$6:$V$80,MATCH($L124,W1_WYBOR!$A$6:$A$80,0)),"")</f>
        <v>Zaimplementowane: dziennik z łańcuchem HMAC, wyzwalacze blokujące zmiany, weryfikacja z CLI</v>
      </c>
    </row>
    <row r="125" customFormat="false" ht="37.5" hidden="false" customHeight="true" outlineLevel="0" collapsed="false">
      <c r="A125" s="24" t="s">
        <v>1706</v>
      </c>
      <c r="B125" s="26" t="s">
        <v>1707</v>
      </c>
      <c r="C125" s="26" t="s">
        <v>1675</v>
      </c>
      <c r="D125" s="26" t="s">
        <v>1676</v>
      </c>
      <c r="E125" s="27" t="s">
        <v>1306</v>
      </c>
      <c r="F125" s="27" t="s">
        <v>1307</v>
      </c>
      <c r="G125" s="27" t="n">
        <v>2</v>
      </c>
      <c r="H125" s="26" t="s">
        <v>1409</v>
      </c>
      <c r="I125" s="27" t="s">
        <v>1309</v>
      </c>
      <c r="J125" s="26" t="s">
        <v>168</v>
      </c>
      <c r="K125" s="26" t="s">
        <v>1536</v>
      </c>
      <c r="L125" s="24" t="s">
        <v>166</v>
      </c>
      <c r="M125" s="26" t="str">
        <f aca="false">IFERROR(INDEX(W1_WYBOR!$B$6:$B$80,MATCH($L125,W1_WYBOR!$A$6:$A$80,0)),"")</f>
        <v>Uprawnienia i udostępnianie (kto, co, komu, na jak długo)</v>
      </c>
      <c r="N125" s="26" t="str">
        <f aca="false">IFERROR(INDEX(W1_WYBOR!$F$6:$F$80,MATCH($L125,W1_WYBOR!$A$6:$A$80,0)),"")</f>
        <v>BIERZEMY OPEN SOURCE + nasza warstwa</v>
      </c>
      <c r="O125" s="28" t="str">
        <f aca="false">IFERROR(INDEX(W1_WYBOR!$L$6:$L$80,MATCH($L125,W1_WYBOR!$A$6:$A$80,0)),"")</f>
        <v>Zasady dostępu Medplum + nasz moduł udostępnień czasowych (FHIR Consent z okresem) — bez osobnego silnika</v>
      </c>
      <c r="P125" s="28" t="str">
        <f aca="false">IFERROR(INDEX(W1_WYBOR!$M$6:$M$80,MATCH($L125,W1_WYBOR!$A$6:$A$80,0)),"")</f>
        <v>OpenFGA dla relacji pacjent–opiekun–lekarz–placówka i dostępu czasowego</v>
      </c>
      <c r="Q125" s="27" t="str">
        <f aca="false">IFERROR(INDEX(W1_WYBOR!$P$6:$P$80,MATCH($L125,W1_WYBOR!$A$6:$A$80,0)),"")</f>
        <v>ZMIANA</v>
      </c>
      <c r="R125" s="26" t="s">
        <v>1708</v>
      </c>
      <c r="S125" s="26" t="str">
        <f aca="false">IFERROR(INDEX(W1_WYBOR!$V$6:$V$80,MATCH($L125,W1_WYBOR!$A$6:$A$80,0)),"")</f>
        <v>Zaimplementowane: role, zgody FHIR Consent, udostępnianie wyników przez placówkę, potwierdzenia odczytu</v>
      </c>
    </row>
    <row r="126" customFormat="false" ht="37.5" hidden="false" customHeight="true" outlineLevel="0" collapsed="false">
      <c r="A126" s="24" t="s">
        <v>1709</v>
      </c>
      <c r="B126" s="26" t="s">
        <v>1710</v>
      </c>
      <c r="C126" s="26" t="s">
        <v>1675</v>
      </c>
      <c r="D126" s="26" t="s">
        <v>1676</v>
      </c>
      <c r="E126" s="27" t="s">
        <v>1306</v>
      </c>
      <c r="F126" s="27" t="s">
        <v>1307</v>
      </c>
      <c r="G126" s="27" t="n">
        <v>2</v>
      </c>
      <c r="H126" s="26" t="s">
        <v>1409</v>
      </c>
      <c r="I126" s="27" t="s">
        <v>1309</v>
      </c>
      <c r="J126" s="26" t="s">
        <v>206</v>
      </c>
      <c r="K126" s="26" t="s">
        <v>1410</v>
      </c>
      <c r="L126" s="24" t="s">
        <v>204</v>
      </c>
      <c r="M126" s="26" t="str">
        <f aca="false">IFERROR(INDEX(W1_WYBOR!$B$6:$B$80,MATCH($L126,W1_WYBOR!$A$6:$A$80,0)),"")</f>
        <v>Zgody i żądania RODO</v>
      </c>
      <c r="N126" s="26" t="str">
        <f aca="false">IFERROR(INDEX(W1_WYBOR!$F$6:$F$80,MATCH($L126,W1_WYBOR!$A$6:$A$80,0)),"")</f>
        <v>WŁASNE na komponentach open source</v>
      </c>
      <c r="O126" s="28" t="str">
        <f aca="false">IFERROR(INDEX(W1_WYBOR!$L$6:$L$80,MATCH($L126,W1_WYBOR!$A$6:$A$80,0)),"")</f>
        <v>Własny rejestr zgód (FHIR Consent z wersjami) + obsługa żądań RODO w panelu (eksport, usunięcie z potwierdzeniem)</v>
      </c>
      <c r="P126" s="28" t="str">
        <f aca="false">IFERROR(INDEX(W1_WYBOR!$M$6:$M$80,MATCH($L126,W1_WYBOR!$A$6:$A$80,0)),"")</f>
        <v>+ Usercentrics albo Didomi wyłącznie dla strony www (cookies), jeśli będzie marketing w sieci</v>
      </c>
      <c r="Q126" s="27" t="str">
        <f aca="false">IFERROR(INDEX(W1_WYBOR!$P$6:$P$80,MATCH($L126,W1_WYBOR!$A$6:$A$80,0)),"")</f>
        <v>BEZ ZMIAN</v>
      </c>
      <c r="R126" s="26"/>
      <c r="S126" s="26" t="str">
        <f aca="false">IFERROR(INDEX(W1_WYBOR!$V$6:$V$80,MATCH($L126,W1_WYBOR!$A$6:$A$80,0)),"")</f>
        <v>Zaimplementowane: zgody wersjonowane, eksport danych, usunięcie konta</v>
      </c>
    </row>
    <row r="127" customFormat="false" ht="37.5" hidden="false" customHeight="true" outlineLevel="0" collapsed="false">
      <c r="A127" s="24" t="s">
        <v>1711</v>
      </c>
      <c r="B127" s="26" t="s">
        <v>707</v>
      </c>
      <c r="C127" s="26" t="s">
        <v>1675</v>
      </c>
      <c r="D127" s="26" t="s">
        <v>1712</v>
      </c>
      <c r="E127" s="27" t="s">
        <v>1306</v>
      </c>
      <c r="F127" s="27" t="s">
        <v>1307</v>
      </c>
      <c r="G127" s="27" t="n">
        <v>33</v>
      </c>
      <c r="H127" s="26" t="s">
        <v>1308</v>
      </c>
      <c r="I127" s="27" t="s">
        <v>1309</v>
      </c>
      <c r="J127" s="26" t="s">
        <v>708</v>
      </c>
      <c r="K127" s="26" t="s">
        <v>1713</v>
      </c>
      <c r="L127" s="24" t="s">
        <v>706</v>
      </c>
      <c r="M127" s="26" t="str">
        <f aca="false">IFERROR(INDEX(W1_WYBOR!$B$6:$B$80,MATCH($L127,W1_WYBOR!$A$6:$A$80,0)),"")</f>
        <v>Tłumaczenie interfejsu i treści</v>
      </c>
      <c r="N127" s="26" t="str">
        <f aca="false">IFERROR(INDEX(W1_WYBOR!$F$6:$F$80,MATCH($L127,W1_WYBOR!$A$6:$A$80,0)),"")</f>
        <v>WŁASNY SŁOWNIK + usługa do szkiców</v>
      </c>
      <c r="O127" s="28" t="str">
        <f aca="false">IFERROR(INDEX(W1_WYBOR!$L$6:$L$80,MATCH($L127,W1_WYBOR!$A$6:$A$80,0)),"")</f>
        <v>Słownik w kodzie (PL/EN gotowe, test kompletności) + DeepL do szkiców; treści medyczne zatwierdza człowiek</v>
      </c>
      <c r="P127" s="28" t="str">
        <f aca="false">IFERROR(INDEX(W1_WYBOR!$M$6:$M$80,MATCH($L127,W1_WYBOR!$A$6:$A$80,0)),"")</f>
        <v>Tolgee lub Weblate jako platforma tłumaczy + DeepL</v>
      </c>
      <c r="Q127" s="27" t="str">
        <f aca="false">IFERROR(INDEX(W1_WYBOR!$P$6:$P$80,MATCH($L127,W1_WYBOR!$A$6:$A$80,0)),"")</f>
        <v>BEZ ZMIAN</v>
      </c>
      <c r="R127" s="26" t="s">
        <v>1714</v>
      </c>
      <c r="S127" s="26" t="str">
        <f aca="false">IFERROR(INDEX(W1_WYBOR!$V$6:$V$80,MATCH($L127,W1_WYBOR!$A$6:$A$80,0)),"")</f>
        <v>Zaimplementowane: tłumaczenie PL→EN (ok. 844 teksty) z testem kompletności</v>
      </c>
    </row>
    <row r="128" customFormat="false" ht="37.5" hidden="false" customHeight="true" outlineLevel="0" collapsed="false">
      <c r="A128" s="24" t="s">
        <v>1715</v>
      </c>
      <c r="B128" s="26" t="s">
        <v>1716</v>
      </c>
      <c r="C128" s="26" t="s">
        <v>1675</v>
      </c>
      <c r="D128" s="26" t="s">
        <v>1712</v>
      </c>
      <c r="E128" s="27" t="s">
        <v>1306</v>
      </c>
      <c r="F128" s="27" t="s">
        <v>1307</v>
      </c>
      <c r="G128" s="27" t="n">
        <v>33</v>
      </c>
      <c r="H128" s="26" t="s">
        <v>1308</v>
      </c>
      <c r="I128" s="27" t="s">
        <v>1309</v>
      </c>
      <c r="J128" s="26" t="s">
        <v>262</v>
      </c>
      <c r="K128" s="26" t="s">
        <v>1380</v>
      </c>
      <c r="L128" s="24" t="s">
        <v>260</v>
      </c>
      <c r="M128" s="26" t="str">
        <f aca="false">IFERROR(INDEX(W1_WYBOR!$B$6:$B$80,MATCH($L128,W1_WYBOR!$A$6:$A$80,0)),"")</f>
        <v>Słowniki medyczne i terminologia</v>
      </c>
      <c r="N128" s="26" t="str">
        <f aca="false">IFERROR(INDEX(W1_WYBOR!$F$6:$F$80,MATCH($L128,W1_WYBOR!$A$6:$A$80,0)),"")</f>
        <v>DANE PUBLICZNE + nasza warstwa</v>
      </c>
      <c r="O128" s="28" t="str">
        <f aca="false">IFERROR(INDEX(W1_WYBOR!$L$6:$L$80,MATCH($L128,W1_WYBOR!$A$6:$A$80,0)),"")</f>
        <v>Tabela mapowań 150–300 badań (LOINC + UCUM + ICD-10 PL) + wyszukiwanie NLM/WHO</v>
      </c>
      <c r="P128" s="28" t="str">
        <f aca="false">IFERROR(INDEX(W1_WYBOR!$M$6:$M$80,MATCH($L128,W1_WYBOR!$A$6:$A$80,0)),"")</f>
        <v>Serwer terminologii (moduł Medplum albo Snowstorm) + ICD-11</v>
      </c>
      <c r="Q128" s="27" t="str">
        <f aca="false">IFERROR(INDEX(W1_WYBOR!$P$6:$P$80,MATCH($L128,W1_WYBOR!$A$6:$A$80,0)),"")</f>
        <v>BEZ ZMIAN</v>
      </c>
      <c r="R128" s="26"/>
      <c r="S128" s="26" t="str">
        <f aca="false">IFERROR(INDEX(W1_WYBOR!$V$6:$V$80,MATCH($L128,W1_WYBOR!$A$6:$A$80,0)),"")</f>
        <v>Zaimplementowane: NLM Clinical Tables, WHO ICD-11, kody LOINC w pomiarach</v>
      </c>
    </row>
    <row r="129" customFormat="false" ht="37.5" hidden="false" customHeight="true" outlineLevel="0" collapsed="false">
      <c r="A129" s="24" t="s">
        <v>1717</v>
      </c>
      <c r="B129" s="26" t="s">
        <v>1718</v>
      </c>
      <c r="C129" s="26" t="s">
        <v>1304</v>
      </c>
      <c r="D129" s="26" t="s">
        <v>1719</v>
      </c>
      <c r="E129" s="27" t="s">
        <v>1720</v>
      </c>
      <c r="F129" s="27" t="s">
        <v>1721</v>
      </c>
      <c r="G129" s="27" t="n">
        <v>14</v>
      </c>
      <c r="H129" s="26" t="s">
        <v>1722</v>
      </c>
      <c r="I129" s="27" t="s">
        <v>1309</v>
      </c>
      <c r="J129" s="26" t="s">
        <v>358</v>
      </c>
      <c r="K129" s="26" t="s">
        <v>1470</v>
      </c>
      <c r="L129" s="24" t="s">
        <v>356</v>
      </c>
      <c r="M129" s="26" t="str">
        <f aca="false">IFERROR(INDEX(W1_WYBOR!$B$6:$B$80,MATCH($L129,W1_WYBOR!$A$6:$A$80,0)),"")</f>
        <v>Dane zdrowotne z telefonu (Apple Zdrowie, Health Connect)</v>
      </c>
      <c r="N129" s="26" t="str">
        <f aca="false">IFERROR(INDEX(W1_WYBOR!$F$6:$F$80,MATCH($L129,W1_WYBOR!$A$6:$A$80,0)),"")</f>
        <v>SYSTEM + biblioteki open source</v>
      </c>
      <c r="O129" s="28" t="str">
        <f aca="false">IFERROR(INDEX(W1_WYBOR!$L$6:$L$80,MATCH($L129,W1_WYBOR!$A$6:$A$80,0)),"")</f>
        <v>Aplikacja mobilna React Native/Expo z HealthKit i Health Connect (biblioteki MIT); synchronizacja w tle</v>
      </c>
      <c r="P129" s="28" t="str">
        <f aca="false">IFERROR(INDEX(W1_WYBOR!$M$6:$M$80,MATCH($L129,W1_WYBOR!$A$6:$A$80,0)),"")</f>
        <v>+ Samsung Health Data SDK</v>
      </c>
      <c r="Q129" s="27" t="str">
        <f aca="false">IFERROR(INDEX(W1_WYBOR!$P$6:$P$80,MATCH($L129,W1_WYBOR!$A$6:$A$80,0)),"")</f>
        <v>DOPRECYZOWANIE</v>
      </c>
      <c r="R129" s="26"/>
      <c r="S129" s="26" t="str">
        <f aca="false">IFERROR(INDEX(W1_WYBOR!$V$6:$V$80,MATCH($L129,W1_WYBOR!$A$6:$A$80,0)),"")</f>
        <v>Brak — obecnie PWA; jest Web Bluetooth (Chrome/Edge) i Withings</v>
      </c>
    </row>
    <row r="130" customFormat="false" ht="60" hidden="false" customHeight="true" outlineLevel="0" collapsed="false">
      <c r="A130" s="24" t="s">
        <v>1723</v>
      </c>
      <c r="B130" s="26" t="s">
        <v>1724</v>
      </c>
      <c r="C130" s="26" t="s">
        <v>1304</v>
      </c>
      <c r="D130" s="26" t="s">
        <v>1719</v>
      </c>
      <c r="E130" s="27" t="s">
        <v>1720</v>
      </c>
      <c r="F130" s="27" t="s">
        <v>1721</v>
      </c>
      <c r="G130" s="27" t="n">
        <v>14</v>
      </c>
      <c r="H130" s="26" t="s">
        <v>1722</v>
      </c>
      <c r="I130" s="27" t="s">
        <v>1309</v>
      </c>
      <c r="J130" s="26" t="s">
        <v>378</v>
      </c>
      <c r="K130" s="26" t="s">
        <v>1725</v>
      </c>
      <c r="L130" s="24" t="s">
        <v>376</v>
      </c>
      <c r="M130" s="26" t="str">
        <f aca="false">IFERROR(INDEX(W1_WYBOR!$B$6:$B$80,MATCH($L130,W1_WYBOR!$A$6:$A$80,0)),"")</f>
        <v>Agregator chmur producentów i platform sportowych</v>
      </c>
      <c r="N130" s="26" t="str">
        <f aca="false">IFERROR(INDEX(W1_WYBOR!$F$6:$F$80,MATCH($L130,W1_WYBOR!$A$6:$A$80,0)),"")</f>
        <v>OPEN SOURCE u nas → usługa przy skali</v>
      </c>
      <c r="O130" s="28" t="str">
        <f aca="false">IFERROR(INDEX(W1_WYBOR!$L$6:$L$80,MATCH($L130,W1_WYBOR!$A$6:$A$80,0)),"")</f>
        <v>Telefon (W-14) jako główne źródło + Withings API + Open Wearables na naszym serwerze (Polar, Suunto, Oura). Strava — nie</v>
      </c>
      <c r="P130" s="28" t="str">
        <f aca="false">IFERROR(INDEX(W1_WYBOR!$M$6:$M$80,MATCH($L130,W1_WYBOR!$A$6:$A$80,0)),"")</f>
        <v>Thryve (UE), gdy potrzebny jeden kontrakt i SLA dla Garmin/Whoop; Open Wearables jako warstwa własna</v>
      </c>
      <c r="Q130" s="27" t="str">
        <f aca="false">IFERROR(INDEX(W1_WYBOR!$P$6:$P$80,MATCH($L130,W1_WYBOR!$A$6:$A$80,0)),"")</f>
        <v>ZMIANA — WYMUSZONA RYNKIEM</v>
      </c>
      <c r="R130" s="26" t="s">
        <v>1726</v>
      </c>
      <c r="S130" s="26" t="str">
        <f aca="false">IFERROR(INDEX(W1_WYBOR!$V$6:$V$80,MATCH($L130,W1_WYBOR!$A$6:$A$80,0)),"")</f>
        <v>Zaimplementowane: Withings (OAuth) i odbiór pomiarów RPM</v>
      </c>
    </row>
    <row r="131" customFormat="false" ht="37.5" hidden="false" customHeight="true" outlineLevel="0" collapsed="false">
      <c r="A131" s="24" t="s">
        <v>1727</v>
      </c>
      <c r="B131" s="26" t="s">
        <v>1728</v>
      </c>
      <c r="C131" s="26" t="s">
        <v>1304</v>
      </c>
      <c r="D131" s="26" t="s">
        <v>1719</v>
      </c>
      <c r="E131" s="27" t="s">
        <v>1720</v>
      </c>
      <c r="F131" s="27" t="s">
        <v>1721</v>
      </c>
      <c r="G131" s="27" t="n">
        <v>14</v>
      </c>
      <c r="H131" s="26" t="s">
        <v>1722</v>
      </c>
      <c r="I131" s="27" t="s">
        <v>1309</v>
      </c>
      <c r="J131" s="26" t="s">
        <v>1729</v>
      </c>
      <c r="K131" s="26" t="s">
        <v>1730</v>
      </c>
      <c r="L131" s="24" t="s">
        <v>1106</v>
      </c>
      <c r="M131" s="26" t="str">
        <f aca="false">IFERROR(INDEX(W1_WYBOR!$B$6:$B$80,MATCH($L131,W1_WYBOR!$A$6:$A$80,0)),"")</f>
        <v>Funkcja systemu telefonu, przeglądarki lub urządzenia (nie kupujemy)</v>
      </c>
      <c r="N131" s="26" t="str">
        <f aca="false">IFERROR(INDEX(W1_WYBOR!$F$6:$F$80,MATCH($L131,W1_WYBOR!$A$6:$A$80,0)),"")</f>
        <v>SYSTEM</v>
      </c>
      <c r="O131" s="28" t="str">
        <f aca="false">IFERROR(INDEX(W1_WYBOR!$L$6:$L$80,MATCH($L131,W1_WYBOR!$A$6:$A$80,0)),"")</f>
        <v>Funkcja systemu + nasza obsługa w aplikacji</v>
      </c>
      <c r="P131" s="28" t="str">
        <f aca="false">IFERROR(INDEX(W1_WYBOR!$M$6:$M$80,MATCH($L131,W1_WYBOR!$A$6:$A$80,0)),"")</f>
        <v>Jak MVP</v>
      </c>
      <c r="Q131" s="27" t="str">
        <f aca="false">IFERROR(INDEX(W1_WYBOR!$P$6:$P$80,MATCH($L131,W1_WYBOR!$A$6:$A$80,0)),"")</f>
        <v>BEZ ZMIAN</v>
      </c>
      <c r="R131" s="26" t="s">
        <v>1731</v>
      </c>
      <c r="S131" s="26" t="str">
        <f aca="false">IFERROR(INDEX(W1_WYBOR!$V$6:$V$80,MATCH($L131,W1_WYBOR!$A$6:$A$80,0)),"")</f>
        <v>Częściowo (PWA); pełny dostęp w aplikacji mobilnej</v>
      </c>
    </row>
    <row r="132" customFormat="false" ht="37.5" hidden="false" customHeight="true" outlineLevel="0" collapsed="false">
      <c r="A132" s="24" t="s">
        <v>1732</v>
      </c>
      <c r="B132" s="26" t="s">
        <v>1733</v>
      </c>
      <c r="C132" s="26" t="s">
        <v>1304</v>
      </c>
      <c r="D132" s="26" t="s">
        <v>1719</v>
      </c>
      <c r="E132" s="27" t="s">
        <v>1720</v>
      </c>
      <c r="F132" s="27" t="s">
        <v>1721</v>
      </c>
      <c r="G132" s="27" t="n">
        <v>14</v>
      </c>
      <c r="H132" s="26" t="s">
        <v>1722</v>
      </c>
      <c r="I132" s="27" t="s">
        <v>1309</v>
      </c>
      <c r="J132" s="26" t="s">
        <v>358</v>
      </c>
      <c r="K132" s="26" t="s">
        <v>1470</v>
      </c>
      <c r="L132" s="24" t="s">
        <v>356</v>
      </c>
      <c r="M132" s="26" t="str">
        <f aca="false">IFERROR(INDEX(W1_WYBOR!$B$6:$B$80,MATCH($L132,W1_WYBOR!$A$6:$A$80,0)),"")</f>
        <v>Dane zdrowotne z telefonu (Apple Zdrowie, Health Connect)</v>
      </c>
      <c r="N132" s="26" t="str">
        <f aca="false">IFERROR(INDEX(W1_WYBOR!$F$6:$F$80,MATCH($L132,W1_WYBOR!$A$6:$A$80,0)),"")</f>
        <v>SYSTEM + biblioteki open source</v>
      </c>
      <c r="O132" s="28" t="str">
        <f aca="false">IFERROR(INDEX(W1_WYBOR!$L$6:$L$80,MATCH($L132,W1_WYBOR!$A$6:$A$80,0)),"")</f>
        <v>Aplikacja mobilna React Native/Expo z HealthKit i Health Connect (biblioteki MIT); synchronizacja w tle</v>
      </c>
      <c r="P132" s="28" t="str">
        <f aca="false">IFERROR(INDEX(W1_WYBOR!$M$6:$M$80,MATCH($L132,W1_WYBOR!$A$6:$A$80,0)),"")</f>
        <v>+ Samsung Health Data SDK</v>
      </c>
      <c r="Q132" s="27" t="str">
        <f aca="false">IFERROR(INDEX(W1_WYBOR!$P$6:$P$80,MATCH($L132,W1_WYBOR!$A$6:$A$80,0)),"")</f>
        <v>DOPRECYZOWANIE</v>
      </c>
      <c r="R132" s="26"/>
      <c r="S132" s="26" t="str">
        <f aca="false">IFERROR(INDEX(W1_WYBOR!$V$6:$V$80,MATCH($L132,W1_WYBOR!$A$6:$A$80,0)),"")</f>
        <v>Brak — obecnie PWA; jest Web Bluetooth (Chrome/Edge) i Withings</v>
      </c>
    </row>
    <row r="133" customFormat="false" ht="25.5" hidden="false" customHeight="true" outlineLevel="0" collapsed="false">
      <c r="A133" s="24" t="s">
        <v>1734</v>
      </c>
      <c r="B133" s="26" t="s">
        <v>1735</v>
      </c>
      <c r="C133" s="26" t="s">
        <v>1304</v>
      </c>
      <c r="D133" s="26" t="s">
        <v>1719</v>
      </c>
      <c r="E133" s="27" t="s">
        <v>1720</v>
      </c>
      <c r="F133" s="27" t="s">
        <v>1721</v>
      </c>
      <c r="G133" s="27" t="n">
        <v>14</v>
      </c>
      <c r="H133" s="26" t="s">
        <v>1722</v>
      </c>
      <c r="I133" s="27" t="s">
        <v>1309</v>
      </c>
      <c r="J133" s="26" t="s">
        <v>867</v>
      </c>
      <c r="K133" s="26" t="s">
        <v>1736</v>
      </c>
      <c r="L133" s="24" t="s">
        <v>865</v>
      </c>
      <c r="M133" s="26" t="str">
        <f aca="false">IFERROR(INDEX(W1_WYBOR!$B$6:$B$80,MATCH($L133,W1_WYBOR!$A$6:$A$80,0)),"")</f>
        <v>Biblioteka ćwiczeń</v>
      </c>
      <c r="N133" s="26" t="str">
        <f aca="false">IFERROR(INDEX(W1_WYBOR!$F$6:$F$80,MATCH($L133,W1_WYBOR!$A$6:$A$80,0)),"")</f>
        <v>WŁASNA BIBLIOTEKA + licencja B2B</v>
      </c>
      <c r="O133" s="28" t="str">
        <f aca="false">IFERROR(INDEX(W1_WYBOR!$L$6:$L$80,MATCH($L133,W1_WYBOR!$A$6:$A$80,0)),"")</f>
        <v>Własna biblioteka 50–100 filmów (z fizjoterapeutą) + opisy z wger</v>
      </c>
      <c r="P133" s="28" t="str">
        <f aca="false">IFERROR(INDEX(W1_WYBOR!$M$6:$M$80,MATCH($L133,W1_WYBOR!$A$6:$A$80,0)),"")</f>
        <v>Physitrack w pakietach z terapeutą (B2B)</v>
      </c>
      <c r="Q133" s="27" t="str">
        <f aca="false">IFERROR(INDEX(W1_WYBOR!$P$6:$P$80,MATCH($L133,W1_WYBOR!$A$6:$A$80,0)),"")</f>
        <v>DOPRECYZOWANIE</v>
      </c>
      <c r="R133" s="26"/>
      <c r="S133" s="26" t="str">
        <f aca="false">IFERROR(INDEX(W1_WYBOR!$V$6:$V$80,MATCH($L133,W1_WYBOR!$A$6:$A$80,0)),"")</f>
        <v>Brak</v>
      </c>
    </row>
    <row r="134" customFormat="false" ht="25.5" hidden="false" customHeight="true" outlineLevel="0" collapsed="false">
      <c r="A134" s="24" t="s">
        <v>1737</v>
      </c>
      <c r="B134" s="26" t="s">
        <v>1738</v>
      </c>
      <c r="C134" s="26" t="s">
        <v>1304</v>
      </c>
      <c r="D134" s="26" t="s">
        <v>1719</v>
      </c>
      <c r="E134" s="27" t="s">
        <v>1720</v>
      </c>
      <c r="F134" s="27" t="s">
        <v>1721</v>
      </c>
      <c r="G134" s="27" t="n">
        <v>14</v>
      </c>
      <c r="H134" s="26" t="s">
        <v>1722</v>
      </c>
      <c r="I134" s="27" t="s">
        <v>1309</v>
      </c>
      <c r="J134" s="26" t="s">
        <v>883</v>
      </c>
      <c r="K134" s="26" t="s">
        <v>887</v>
      </c>
      <c r="L134" s="24" t="s">
        <v>881</v>
      </c>
      <c r="M134" s="26" t="str">
        <f aca="false">IFERROR(INDEX(W1_WYBOR!$B$6:$B$80,MATCH($L134,W1_WYBOR!$A$6:$A$80,0)),"")</f>
        <v>Ocena ruchu kamerą telefonu</v>
      </c>
      <c r="N134" s="26" t="str">
        <f aca="false">IFERROR(INDEX(W1_WYBOR!$F$6:$F$80,MATCH($L134,W1_WYBOR!$A$6:$A$80,0)),"")</f>
        <v>OPEN SOURCE na urządzeniu</v>
      </c>
      <c r="O134" s="28" t="str">
        <f aca="false">IFERROR(INDEX(W1_WYBOR!$L$6:$L$80,MATCH($L134,W1_WYBOR!$A$6:$A$80,0)),"")</f>
        <v>MediaPipe na urządzeniu (obraz nie opuszcza telefonu)</v>
      </c>
      <c r="P134" s="28" t="str">
        <f aca="false">IFERROR(INDEX(W1_WYBOR!$M$6:$M$80,MATCH($L134,W1_WYBOR!$A$6:$A$80,0)),"")</f>
        <v>Jak MVP</v>
      </c>
      <c r="Q134" s="27" t="str">
        <f aca="false">IFERROR(INDEX(W1_WYBOR!$P$6:$P$80,MATCH($L134,W1_WYBOR!$A$6:$A$80,0)),"")</f>
        <v>BEZ ZMIAN</v>
      </c>
      <c r="R134" s="26"/>
      <c r="S134" s="26" t="str">
        <f aca="false">IFERROR(INDEX(W1_WYBOR!$V$6:$V$80,MATCH($L134,W1_WYBOR!$A$6:$A$80,0)),"")</f>
        <v>Brak</v>
      </c>
    </row>
    <row r="135" customFormat="false" ht="25.5" hidden="false" customHeight="true" outlineLevel="0" collapsed="false">
      <c r="A135" s="24" t="s">
        <v>1739</v>
      </c>
      <c r="B135" s="26" t="s">
        <v>1740</v>
      </c>
      <c r="C135" s="26" t="s">
        <v>1304</v>
      </c>
      <c r="D135" s="26" t="s">
        <v>1719</v>
      </c>
      <c r="E135" s="27" t="s">
        <v>1720</v>
      </c>
      <c r="F135" s="27" t="s">
        <v>1721</v>
      </c>
      <c r="G135" s="27" t="n">
        <v>14</v>
      </c>
      <c r="H135" s="26" t="s">
        <v>1722</v>
      </c>
      <c r="I135" s="27" t="s">
        <v>1309</v>
      </c>
      <c r="J135" s="26" t="s">
        <v>894</v>
      </c>
      <c r="K135" s="26" t="s">
        <v>1741</v>
      </c>
      <c r="L135" s="24" t="s">
        <v>892</v>
      </c>
      <c r="M135" s="26" t="str">
        <f aca="false">IFERROR(INDEX(W1_WYBOR!$B$6:$B$80,MATCH($L135,W1_WYBOR!$A$6:$A$80,0)),"")</f>
        <v>Zajęcia sportowe i karty</v>
      </c>
      <c r="N135" s="26" t="str">
        <f aca="false">IFERROR(INDEX(W1_WYBOR!$F$6:$F$80,MATCH($L135,W1_WYBOR!$A$6:$A$80,0)),"")</f>
        <v>POŚREDNICTWO PARTNERA</v>
      </c>
      <c r="O135" s="28" t="str">
        <f aca="false">IFERROR(INDEX(W1_WYBOR!$L$6:$L$80,MATCH($L135,W1_WYBOR!$A$6:$A$80,0)),"")</f>
        <v>MultiSport (odnośnik/partnerstwo, bez danych o zdrowiu do partnera)</v>
      </c>
      <c r="P135" s="28" t="str">
        <f aca="false">IFERROR(INDEX(W1_WYBOR!$M$6:$M$80,MATCH($L135,W1_WYBOR!$A$6:$A$80,0)),"")</f>
        <v>Jak MVP</v>
      </c>
      <c r="Q135" s="27" t="str">
        <f aca="false">IFERROR(INDEX(W1_WYBOR!$P$6:$P$80,MATCH($L135,W1_WYBOR!$A$6:$A$80,0)),"")</f>
        <v>BEZ ZMIAN</v>
      </c>
      <c r="R135" s="26"/>
      <c r="S135" s="26" t="str">
        <f aca="false">IFERROR(INDEX(W1_WYBOR!$V$6:$V$80,MATCH($L135,W1_WYBOR!$A$6:$A$80,0)),"")</f>
        <v>Brak</v>
      </c>
    </row>
    <row r="136" customFormat="false" ht="37.5" hidden="false" customHeight="true" outlineLevel="0" collapsed="false">
      <c r="A136" s="24" t="s">
        <v>1742</v>
      </c>
      <c r="B136" s="26" t="s">
        <v>1743</v>
      </c>
      <c r="C136" s="26" t="s">
        <v>1304</v>
      </c>
      <c r="D136" s="26" t="s">
        <v>1719</v>
      </c>
      <c r="E136" s="27" t="s">
        <v>1720</v>
      </c>
      <c r="F136" s="27" t="s">
        <v>1721</v>
      </c>
      <c r="G136" s="27" t="n">
        <v>14</v>
      </c>
      <c r="H136" s="26" t="s">
        <v>1722</v>
      </c>
      <c r="I136" s="27" t="s">
        <v>1309</v>
      </c>
      <c r="J136" s="26" t="s">
        <v>378</v>
      </c>
      <c r="K136" s="26" t="s">
        <v>1725</v>
      </c>
      <c r="L136" s="24" t="s">
        <v>376</v>
      </c>
      <c r="M136" s="26" t="str">
        <f aca="false">IFERROR(INDEX(W1_WYBOR!$B$6:$B$80,MATCH($L136,W1_WYBOR!$A$6:$A$80,0)),"")</f>
        <v>Agregator chmur producentów i platform sportowych</v>
      </c>
      <c r="N136" s="26" t="str">
        <f aca="false">IFERROR(INDEX(W1_WYBOR!$F$6:$F$80,MATCH($L136,W1_WYBOR!$A$6:$A$80,0)),"")</f>
        <v>OPEN SOURCE u nas → usługa przy skali</v>
      </c>
      <c r="O136" s="28" t="str">
        <f aca="false">IFERROR(INDEX(W1_WYBOR!$L$6:$L$80,MATCH($L136,W1_WYBOR!$A$6:$A$80,0)),"")</f>
        <v>Telefon (W-14) jako główne źródło + Withings API + Open Wearables na naszym serwerze (Polar, Suunto, Oura). Strava — nie</v>
      </c>
      <c r="P136" s="28" t="str">
        <f aca="false">IFERROR(INDEX(W1_WYBOR!$M$6:$M$80,MATCH($L136,W1_WYBOR!$A$6:$A$80,0)),"")</f>
        <v>Thryve (UE), gdy potrzebny jeden kontrakt i SLA dla Garmin/Whoop; Open Wearables jako warstwa własna</v>
      </c>
      <c r="Q136" s="27" t="str">
        <f aca="false">IFERROR(INDEX(W1_WYBOR!$P$6:$P$80,MATCH($L136,W1_WYBOR!$A$6:$A$80,0)),"")</f>
        <v>ZMIANA — WYMUSZONA RYNKIEM</v>
      </c>
      <c r="R136" s="26" t="s">
        <v>1744</v>
      </c>
      <c r="S136" s="26" t="str">
        <f aca="false">IFERROR(INDEX(W1_WYBOR!$V$6:$V$80,MATCH($L136,W1_WYBOR!$A$6:$A$80,0)),"")</f>
        <v>Zaimplementowane: Withings (OAuth) i odbiór pomiarów RPM</v>
      </c>
    </row>
    <row r="137" customFormat="false" ht="37.5" hidden="false" customHeight="true" outlineLevel="0" collapsed="false">
      <c r="A137" s="24" t="s">
        <v>1745</v>
      </c>
      <c r="B137" s="26" t="s">
        <v>1746</v>
      </c>
      <c r="C137" s="26" t="s">
        <v>1304</v>
      </c>
      <c r="D137" s="26" t="s">
        <v>1719</v>
      </c>
      <c r="E137" s="27" t="s">
        <v>1720</v>
      </c>
      <c r="F137" s="27" t="s">
        <v>1721</v>
      </c>
      <c r="G137" s="27" t="n">
        <v>14</v>
      </c>
      <c r="H137" s="26" t="s">
        <v>1722</v>
      </c>
      <c r="I137" s="27" t="s">
        <v>1309</v>
      </c>
      <c r="J137" s="26" t="s">
        <v>378</v>
      </c>
      <c r="K137" s="26" t="s">
        <v>1725</v>
      </c>
      <c r="L137" s="24" t="s">
        <v>376</v>
      </c>
      <c r="M137" s="26" t="str">
        <f aca="false">IFERROR(INDEX(W1_WYBOR!$B$6:$B$80,MATCH($L137,W1_WYBOR!$A$6:$A$80,0)),"")</f>
        <v>Agregator chmur producentów i platform sportowych</v>
      </c>
      <c r="N137" s="26" t="str">
        <f aca="false">IFERROR(INDEX(W1_WYBOR!$F$6:$F$80,MATCH($L137,W1_WYBOR!$A$6:$A$80,0)),"")</f>
        <v>OPEN SOURCE u nas → usługa przy skali</v>
      </c>
      <c r="O137" s="28" t="str">
        <f aca="false">IFERROR(INDEX(W1_WYBOR!$L$6:$L$80,MATCH($L137,W1_WYBOR!$A$6:$A$80,0)),"")</f>
        <v>Telefon (W-14) jako główne źródło + Withings API + Open Wearables na naszym serwerze (Polar, Suunto, Oura). Strava — nie</v>
      </c>
      <c r="P137" s="28" t="str">
        <f aca="false">IFERROR(INDEX(W1_WYBOR!$M$6:$M$80,MATCH($L137,W1_WYBOR!$A$6:$A$80,0)),"")</f>
        <v>Thryve (UE), gdy potrzebny jeden kontrakt i SLA dla Garmin/Whoop; Open Wearables jako warstwa własna</v>
      </c>
      <c r="Q137" s="27" t="str">
        <f aca="false">IFERROR(INDEX(W1_WYBOR!$P$6:$P$80,MATCH($L137,W1_WYBOR!$A$6:$A$80,0)),"")</f>
        <v>ZMIANA — WYMUSZONA RYNKIEM</v>
      </c>
      <c r="R137" s="26" t="s">
        <v>1747</v>
      </c>
      <c r="S137" s="26" t="str">
        <f aca="false">IFERROR(INDEX(W1_WYBOR!$V$6:$V$80,MATCH($L137,W1_WYBOR!$A$6:$A$80,0)),"")</f>
        <v>Zaimplementowane: Withings (OAuth) i odbiór pomiarów RPM</v>
      </c>
    </row>
    <row r="138" customFormat="false" ht="25.5" hidden="false" customHeight="true" outlineLevel="0" collapsed="false">
      <c r="A138" s="24" t="s">
        <v>1748</v>
      </c>
      <c r="B138" s="26" t="s">
        <v>1749</v>
      </c>
      <c r="C138" s="26" t="s">
        <v>1304</v>
      </c>
      <c r="D138" s="26" t="s">
        <v>1719</v>
      </c>
      <c r="E138" s="27" t="s">
        <v>1720</v>
      </c>
      <c r="F138" s="27" t="s">
        <v>1721</v>
      </c>
      <c r="G138" s="27" t="n">
        <v>14</v>
      </c>
      <c r="H138" s="26" t="s">
        <v>1722</v>
      </c>
      <c r="I138" s="27" t="s">
        <v>1309</v>
      </c>
      <c r="J138" s="26" t="s">
        <v>1121</v>
      </c>
      <c r="K138" s="26" t="s">
        <v>151</v>
      </c>
      <c r="L138" s="24" t="s">
        <v>1119</v>
      </c>
      <c r="M138" s="26" t="str">
        <f aca="false">IFERROR(INDEX(W1_WYBOR!$B$6:$B$80,MATCH($L138,W1_WYBOR!$A$6:$A$80,0)),"")</f>
        <v>Funkcja własna na wspólnych komponentach (W2)</v>
      </c>
      <c r="N138" s="26" t="str">
        <f aca="false">IFERROR(INDEX(W1_WYBOR!$F$6:$F$80,MATCH($L138,W1_WYBOR!$A$6:$A$80,0)),"")</f>
        <v>WŁASNE na komponentach z W2</v>
      </c>
      <c r="O138" s="28" t="str">
        <f aca="false">IFERROR(INDEX(W1_WYBOR!$L$6:$L$80,MATCH($L138,W1_WYBOR!$A$6:$A$80,0)),"")</f>
        <v>Budujemy w aplikacji Eternal na komponentach W2</v>
      </c>
      <c r="P138" s="28" t="str">
        <f aca="false">IFERROR(INDEX(W1_WYBOR!$M$6:$M$80,MATCH($L138,W1_WYBOR!$A$6:$A$80,0)),"")</f>
        <v>Jak MVP</v>
      </c>
      <c r="Q138" s="27" t="str">
        <f aca="false">IFERROR(INDEX(W1_WYBOR!$P$6:$P$80,MATCH($L138,W1_WYBOR!$A$6:$A$80,0)),"")</f>
        <v>BEZ ZMIAN</v>
      </c>
      <c r="R138" s="26"/>
      <c r="S138" s="26" t="str">
        <f aca="false">IFERROR(INDEX(W1_WYBOR!$V$6:$V$80,MATCH($L138,W1_WYBOR!$A$6:$A$80,0)),"")</f>
        <v>Zob. kolumna uwag w W3</v>
      </c>
    </row>
    <row r="139" customFormat="false" ht="25.5" hidden="false" customHeight="true" outlineLevel="0" collapsed="false">
      <c r="A139" s="24" t="s">
        <v>1750</v>
      </c>
      <c r="B139" s="26" t="s">
        <v>1751</v>
      </c>
      <c r="C139" s="26" t="s">
        <v>1304</v>
      </c>
      <c r="D139" s="26" t="s">
        <v>1719</v>
      </c>
      <c r="E139" s="27" t="s">
        <v>1720</v>
      </c>
      <c r="F139" s="27" t="s">
        <v>1721</v>
      </c>
      <c r="G139" s="27" t="n">
        <v>44</v>
      </c>
      <c r="H139" s="26" t="s">
        <v>1621</v>
      </c>
      <c r="I139" s="27" t="s">
        <v>1309</v>
      </c>
      <c r="J139" s="26" t="s">
        <v>1121</v>
      </c>
      <c r="K139" s="26" t="s">
        <v>151</v>
      </c>
      <c r="L139" s="24" t="s">
        <v>1119</v>
      </c>
      <c r="M139" s="26" t="str">
        <f aca="false">IFERROR(INDEX(W1_WYBOR!$B$6:$B$80,MATCH($L139,W1_WYBOR!$A$6:$A$80,0)),"")</f>
        <v>Funkcja własna na wspólnych komponentach (W2)</v>
      </c>
      <c r="N139" s="26" t="str">
        <f aca="false">IFERROR(INDEX(W1_WYBOR!$F$6:$F$80,MATCH($L139,W1_WYBOR!$A$6:$A$80,0)),"")</f>
        <v>WŁASNE na komponentach z W2</v>
      </c>
      <c r="O139" s="28" t="str">
        <f aca="false">IFERROR(INDEX(W1_WYBOR!$L$6:$L$80,MATCH($L139,W1_WYBOR!$A$6:$A$80,0)),"")</f>
        <v>Budujemy w aplikacji Eternal na komponentach W2</v>
      </c>
      <c r="P139" s="28" t="str">
        <f aca="false">IFERROR(INDEX(W1_WYBOR!$M$6:$M$80,MATCH($L139,W1_WYBOR!$A$6:$A$80,0)),"")</f>
        <v>Jak MVP</v>
      </c>
      <c r="Q139" s="27" t="str">
        <f aca="false">IFERROR(INDEX(W1_WYBOR!$P$6:$P$80,MATCH($L139,W1_WYBOR!$A$6:$A$80,0)),"")</f>
        <v>BEZ ZMIAN</v>
      </c>
      <c r="R139" s="26"/>
      <c r="S139" s="26" t="str">
        <f aca="false">IFERROR(INDEX(W1_WYBOR!$V$6:$V$80,MATCH($L139,W1_WYBOR!$A$6:$A$80,0)),"")</f>
        <v>Zob. kolumna uwag w W3</v>
      </c>
    </row>
    <row r="140" customFormat="false" ht="37.5" hidden="false" customHeight="true" outlineLevel="0" collapsed="false">
      <c r="A140" s="24" t="s">
        <v>1752</v>
      </c>
      <c r="B140" s="26" t="s">
        <v>1753</v>
      </c>
      <c r="C140" s="26" t="s">
        <v>1304</v>
      </c>
      <c r="D140" s="26" t="s">
        <v>1719</v>
      </c>
      <c r="E140" s="27" t="s">
        <v>1720</v>
      </c>
      <c r="F140" s="27" t="s">
        <v>1721</v>
      </c>
      <c r="G140" s="27" t="n">
        <v>14</v>
      </c>
      <c r="H140" s="26" t="s">
        <v>1722</v>
      </c>
      <c r="I140" s="27" t="s">
        <v>1309</v>
      </c>
      <c r="J140" s="26" t="s">
        <v>1754</v>
      </c>
      <c r="K140" s="26" t="s">
        <v>1755</v>
      </c>
      <c r="L140" s="24" t="s">
        <v>1106</v>
      </c>
      <c r="M140" s="26" t="str">
        <f aca="false">IFERROR(INDEX(W1_WYBOR!$B$6:$B$80,MATCH($L140,W1_WYBOR!$A$6:$A$80,0)),"")</f>
        <v>Funkcja systemu telefonu, przeglądarki lub urządzenia (nie kupujemy)</v>
      </c>
      <c r="N140" s="26" t="str">
        <f aca="false">IFERROR(INDEX(W1_WYBOR!$F$6:$F$80,MATCH($L140,W1_WYBOR!$A$6:$A$80,0)),"")</f>
        <v>SYSTEM</v>
      </c>
      <c r="O140" s="28" t="str">
        <f aca="false">IFERROR(INDEX(W1_WYBOR!$L$6:$L$80,MATCH($L140,W1_WYBOR!$A$6:$A$80,0)),"")</f>
        <v>Funkcja systemu + nasza obsługa w aplikacji</v>
      </c>
      <c r="P140" s="28" t="str">
        <f aca="false">IFERROR(INDEX(W1_WYBOR!$M$6:$M$80,MATCH($L140,W1_WYBOR!$A$6:$A$80,0)),"")</f>
        <v>Jak MVP</v>
      </c>
      <c r="Q140" s="27" t="str">
        <f aca="false">IFERROR(INDEX(W1_WYBOR!$P$6:$P$80,MATCH($L140,W1_WYBOR!$A$6:$A$80,0)),"")</f>
        <v>BEZ ZMIAN</v>
      </c>
      <c r="R140" s="26" t="s">
        <v>1756</v>
      </c>
      <c r="S140" s="26" t="str">
        <f aca="false">IFERROR(INDEX(W1_WYBOR!$V$6:$V$80,MATCH($L140,W1_WYBOR!$A$6:$A$80,0)),"")</f>
        <v>Częściowo (PWA); pełny dostęp w aplikacji mobilnej</v>
      </c>
    </row>
    <row r="141" customFormat="false" ht="37.5" hidden="false" customHeight="true" outlineLevel="0" collapsed="false">
      <c r="A141" s="24" t="s">
        <v>1757</v>
      </c>
      <c r="B141" s="26" t="s">
        <v>1758</v>
      </c>
      <c r="C141" s="26" t="s">
        <v>1304</v>
      </c>
      <c r="D141" s="26" t="s">
        <v>1719</v>
      </c>
      <c r="E141" s="27" t="s">
        <v>1720</v>
      </c>
      <c r="F141" s="27" t="s">
        <v>1721</v>
      </c>
      <c r="G141" s="27" t="n">
        <v>13</v>
      </c>
      <c r="H141" s="26" t="s">
        <v>1759</v>
      </c>
      <c r="I141" s="27" t="s">
        <v>1309</v>
      </c>
      <c r="J141" s="26" t="s">
        <v>841</v>
      </c>
      <c r="K141" s="26" t="s">
        <v>1760</v>
      </c>
      <c r="L141" s="24" t="s">
        <v>839</v>
      </c>
      <c r="M141" s="26" t="str">
        <f aca="false">IFERROR(INDEX(W1_WYBOR!$B$6:$B$80,MATCH($L141,W1_WYBOR!$A$6:$A$80,0)),"")</f>
        <v>Bazy żywieniowe</v>
      </c>
      <c r="N141" s="26" t="str">
        <f aca="false">IFERROR(INDEX(W1_WYBOR!$F$6:$F$80,MATCH($L141,W1_WYBOR!$A$6:$A$80,0)),"")</f>
        <v>DANE OTWARTE u nas + licencja przy potrzebie</v>
      </c>
      <c r="O141" s="28" t="str">
        <f aca="false">IFERROR(INDEX(W1_WYBOR!$L$6:$L$80,MATCH($L141,W1_WYBOR!$A$6:$A$80,0)),"")</f>
        <v>Open Food Facts — zrzut bazy u nas (limity API wykluczają produkcję przez API) + polskie tabele składu (licencja do potwierdzenia)</v>
      </c>
      <c r="P141" s="28" t="str">
        <f aca="false">IFERROR(INDEX(W1_WYBOR!$M$6:$M$80,MATCH($L141,W1_WYBOR!$A$6:$A$80,0)),"")</f>
        <v>FatSecret Premier dla rynku PL, jeśli pokrycie OFF niewystarczające</v>
      </c>
      <c r="Q141" s="27" t="str">
        <f aca="false">IFERROR(INDEX(W1_WYBOR!$P$6:$P$80,MATCH($L141,W1_WYBOR!$A$6:$A$80,0)),"")</f>
        <v>DOPRECYZOWANIE</v>
      </c>
      <c r="R141" s="26"/>
      <c r="S141" s="26" t="str">
        <f aca="false">IFERROR(INDEX(W1_WYBOR!$V$6:$V$80,MATCH($L141,W1_WYBOR!$A$6:$A$80,0)),"")</f>
        <v>Brak</v>
      </c>
    </row>
    <row r="142" customFormat="false" ht="37.5" hidden="false" customHeight="true" outlineLevel="0" collapsed="false">
      <c r="A142" s="24" t="s">
        <v>1761</v>
      </c>
      <c r="B142" s="26" t="s">
        <v>1762</v>
      </c>
      <c r="C142" s="26" t="s">
        <v>1304</v>
      </c>
      <c r="D142" s="26" t="s">
        <v>1719</v>
      </c>
      <c r="E142" s="27" t="s">
        <v>1720</v>
      </c>
      <c r="F142" s="27" t="s">
        <v>1721</v>
      </c>
      <c r="G142" s="27" t="n">
        <v>13</v>
      </c>
      <c r="H142" s="26" t="s">
        <v>1759</v>
      </c>
      <c r="I142" s="27" t="s">
        <v>1309</v>
      </c>
      <c r="J142" s="26" t="s">
        <v>1763</v>
      </c>
      <c r="K142" s="26" t="s">
        <v>1764</v>
      </c>
      <c r="L142" s="24" t="s">
        <v>298</v>
      </c>
      <c r="M142" s="26" t="str">
        <f aca="false">IFERROR(INDEX(W1_WYBOR!$B$6:$B$80,MATCH($L142,W1_WYBOR!$A$6:$A$80,0)),"")</f>
        <v>Modele językowe (brama modeli)</v>
      </c>
      <c r="N142" s="26" t="str">
        <f aca="false">IFERROR(INDEX(W1_WYBOR!$F$6:$F$80,MATCH($L142,W1_WYBOR!$A$6:$A$80,0)),"")</f>
        <v>KUPUJEMY USŁUGĘ za własną bramą</v>
      </c>
      <c r="O142" s="28" t="str">
        <f aca="false">IFERROR(INDEX(W1_WYBOR!$L$6:$L$80,MATCH($L142,W1_WYBOR!$A$6:$A$80,0)),"")</f>
        <v>Claude przez Amazon Bedrock (profil eu.*) za naszą bramą LiteLLM + Mistral jako drugi dostawca z UE (przełączanie)</v>
      </c>
      <c r="P142" s="28" t="str">
        <f aca="false">IFERROR(INDEX(W1_WYBOR!$M$6:$M$80,MATCH($L142,W1_WYBOR!$A$6:$A$80,0)),"")</f>
        <v>+ Bielik v3 na własnym GPU w UE do zadań prostych (porządkowanie pól, klasyfikacja)</v>
      </c>
      <c r="Q142" s="27" t="str">
        <f aca="false">IFERROR(INDEX(W1_WYBOR!$P$6:$P$80,MATCH($L142,W1_WYBOR!$A$6:$A$80,0)),"")</f>
        <v>DOPRECYZOWANIE</v>
      </c>
      <c r="R142" s="26" t="s">
        <v>1765</v>
      </c>
      <c r="S142" s="26" t="str">
        <f aca="false">IFERROR(INDEX(W1_WYBOR!$V$6:$V$80,MATCH($L142,W1_WYBOR!$A$6:$A$80,0)),"")</f>
        <v>Brak — świadomie (granica MDR w obecnej wersji)</v>
      </c>
    </row>
    <row r="143" customFormat="false" ht="37.5" hidden="false" customHeight="true" outlineLevel="0" collapsed="false">
      <c r="A143" s="24" t="s">
        <v>1766</v>
      </c>
      <c r="B143" s="26" t="s">
        <v>1767</v>
      </c>
      <c r="C143" s="26" t="s">
        <v>1304</v>
      </c>
      <c r="D143" s="26" t="s">
        <v>1719</v>
      </c>
      <c r="E143" s="27" t="s">
        <v>1720</v>
      </c>
      <c r="F143" s="27" t="s">
        <v>1721</v>
      </c>
      <c r="G143" s="27" t="n">
        <v>13</v>
      </c>
      <c r="H143" s="26" t="s">
        <v>1759</v>
      </c>
      <c r="I143" s="27" t="s">
        <v>1309</v>
      </c>
      <c r="J143" s="26" t="s">
        <v>841</v>
      </c>
      <c r="K143" s="26" t="s">
        <v>1760</v>
      </c>
      <c r="L143" s="24" t="s">
        <v>839</v>
      </c>
      <c r="M143" s="26" t="str">
        <f aca="false">IFERROR(INDEX(W1_WYBOR!$B$6:$B$80,MATCH($L143,W1_WYBOR!$A$6:$A$80,0)),"")</f>
        <v>Bazy żywieniowe</v>
      </c>
      <c r="N143" s="26" t="str">
        <f aca="false">IFERROR(INDEX(W1_WYBOR!$F$6:$F$80,MATCH($L143,W1_WYBOR!$A$6:$A$80,0)),"")</f>
        <v>DANE OTWARTE u nas + licencja przy potrzebie</v>
      </c>
      <c r="O143" s="28" t="str">
        <f aca="false">IFERROR(INDEX(W1_WYBOR!$L$6:$L$80,MATCH($L143,W1_WYBOR!$A$6:$A$80,0)),"")</f>
        <v>Open Food Facts — zrzut bazy u nas (limity API wykluczają produkcję przez API) + polskie tabele składu (licencja do potwierdzenia)</v>
      </c>
      <c r="P143" s="28" t="str">
        <f aca="false">IFERROR(INDEX(W1_WYBOR!$M$6:$M$80,MATCH($L143,W1_WYBOR!$A$6:$A$80,0)),"")</f>
        <v>FatSecret Premier dla rynku PL, jeśli pokrycie OFF niewystarczające</v>
      </c>
      <c r="Q143" s="27" t="str">
        <f aca="false">IFERROR(INDEX(W1_WYBOR!$P$6:$P$80,MATCH($L143,W1_WYBOR!$A$6:$A$80,0)),"")</f>
        <v>DOPRECYZOWANIE</v>
      </c>
      <c r="R143" s="26"/>
      <c r="S143" s="26" t="str">
        <f aca="false">IFERROR(INDEX(W1_WYBOR!$V$6:$V$80,MATCH($L143,W1_WYBOR!$A$6:$A$80,0)),"")</f>
        <v>Brak</v>
      </c>
    </row>
    <row r="144" customFormat="false" ht="37.5" hidden="false" customHeight="true" outlineLevel="0" collapsed="false">
      <c r="A144" s="24" t="s">
        <v>1768</v>
      </c>
      <c r="B144" s="26" t="s">
        <v>1769</v>
      </c>
      <c r="C144" s="26" t="s">
        <v>1304</v>
      </c>
      <c r="D144" s="26" t="s">
        <v>1719</v>
      </c>
      <c r="E144" s="27" t="s">
        <v>1720</v>
      </c>
      <c r="F144" s="27" t="s">
        <v>1721</v>
      </c>
      <c r="G144" s="27" t="n">
        <v>13</v>
      </c>
      <c r="H144" s="26" t="s">
        <v>1759</v>
      </c>
      <c r="I144" s="27" t="s">
        <v>1309</v>
      </c>
      <c r="J144" s="26" t="s">
        <v>841</v>
      </c>
      <c r="K144" s="26" t="s">
        <v>1760</v>
      </c>
      <c r="L144" s="24" t="s">
        <v>839</v>
      </c>
      <c r="M144" s="26" t="str">
        <f aca="false">IFERROR(INDEX(W1_WYBOR!$B$6:$B$80,MATCH($L144,W1_WYBOR!$A$6:$A$80,0)),"")</f>
        <v>Bazy żywieniowe</v>
      </c>
      <c r="N144" s="26" t="str">
        <f aca="false">IFERROR(INDEX(W1_WYBOR!$F$6:$F$80,MATCH($L144,W1_WYBOR!$A$6:$A$80,0)),"")</f>
        <v>DANE OTWARTE u nas + licencja przy potrzebie</v>
      </c>
      <c r="O144" s="28" t="str">
        <f aca="false">IFERROR(INDEX(W1_WYBOR!$L$6:$L$80,MATCH($L144,W1_WYBOR!$A$6:$A$80,0)),"")</f>
        <v>Open Food Facts — zrzut bazy u nas (limity API wykluczają produkcję przez API) + polskie tabele składu (licencja do potwierdzenia)</v>
      </c>
      <c r="P144" s="28" t="str">
        <f aca="false">IFERROR(INDEX(W1_WYBOR!$M$6:$M$80,MATCH($L144,W1_WYBOR!$A$6:$A$80,0)),"")</f>
        <v>FatSecret Premier dla rynku PL, jeśli pokrycie OFF niewystarczające</v>
      </c>
      <c r="Q144" s="27" t="str">
        <f aca="false">IFERROR(INDEX(W1_WYBOR!$P$6:$P$80,MATCH($L144,W1_WYBOR!$A$6:$A$80,0)),"")</f>
        <v>DOPRECYZOWANIE</v>
      </c>
      <c r="R144" s="26"/>
      <c r="S144" s="26" t="str">
        <f aca="false">IFERROR(INDEX(W1_WYBOR!$V$6:$V$80,MATCH($L144,W1_WYBOR!$A$6:$A$80,0)),"")</f>
        <v>Brak</v>
      </c>
    </row>
    <row r="145" customFormat="false" ht="37.5" hidden="false" customHeight="true" outlineLevel="0" collapsed="false">
      <c r="A145" s="24" t="s">
        <v>1770</v>
      </c>
      <c r="B145" s="26" t="s">
        <v>1771</v>
      </c>
      <c r="C145" s="26" t="s">
        <v>1304</v>
      </c>
      <c r="D145" s="26" t="s">
        <v>1719</v>
      </c>
      <c r="E145" s="27" t="s">
        <v>1720</v>
      </c>
      <c r="F145" s="27" t="s">
        <v>1721</v>
      </c>
      <c r="G145" s="27" t="n">
        <v>13</v>
      </c>
      <c r="H145" s="26" t="s">
        <v>1759</v>
      </c>
      <c r="I145" s="27" t="s">
        <v>1309</v>
      </c>
      <c r="J145" s="26" t="s">
        <v>841</v>
      </c>
      <c r="K145" s="26" t="s">
        <v>1760</v>
      </c>
      <c r="L145" s="24" t="s">
        <v>839</v>
      </c>
      <c r="M145" s="26" t="str">
        <f aca="false">IFERROR(INDEX(W1_WYBOR!$B$6:$B$80,MATCH($L145,W1_WYBOR!$A$6:$A$80,0)),"")</f>
        <v>Bazy żywieniowe</v>
      </c>
      <c r="N145" s="26" t="str">
        <f aca="false">IFERROR(INDEX(W1_WYBOR!$F$6:$F$80,MATCH($L145,W1_WYBOR!$A$6:$A$80,0)),"")</f>
        <v>DANE OTWARTE u nas + licencja przy potrzebie</v>
      </c>
      <c r="O145" s="28" t="str">
        <f aca="false">IFERROR(INDEX(W1_WYBOR!$L$6:$L$80,MATCH($L145,W1_WYBOR!$A$6:$A$80,0)),"")</f>
        <v>Open Food Facts — zrzut bazy u nas (limity API wykluczają produkcję przez API) + polskie tabele składu (licencja do potwierdzenia)</v>
      </c>
      <c r="P145" s="28" t="str">
        <f aca="false">IFERROR(INDEX(W1_WYBOR!$M$6:$M$80,MATCH($L145,W1_WYBOR!$A$6:$A$80,0)),"")</f>
        <v>FatSecret Premier dla rynku PL, jeśli pokrycie OFF niewystarczające</v>
      </c>
      <c r="Q145" s="27" t="str">
        <f aca="false">IFERROR(INDEX(W1_WYBOR!$P$6:$P$80,MATCH($L145,W1_WYBOR!$A$6:$A$80,0)),"")</f>
        <v>DOPRECYZOWANIE</v>
      </c>
      <c r="R145" s="26"/>
      <c r="S145" s="26" t="str">
        <f aca="false">IFERROR(INDEX(W1_WYBOR!$V$6:$V$80,MATCH($L145,W1_WYBOR!$A$6:$A$80,0)),"")</f>
        <v>Brak</v>
      </c>
    </row>
    <row r="146" customFormat="false" ht="25.5" hidden="false" customHeight="true" outlineLevel="0" collapsed="false">
      <c r="A146" s="24" t="s">
        <v>1772</v>
      </c>
      <c r="B146" s="26" t="s">
        <v>1773</v>
      </c>
      <c r="C146" s="26" t="s">
        <v>1304</v>
      </c>
      <c r="D146" s="26" t="s">
        <v>1719</v>
      </c>
      <c r="E146" s="27" t="s">
        <v>1720</v>
      </c>
      <c r="F146" s="27" t="s">
        <v>1721</v>
      </c>
      <c r="G146" s="27" t="n">
        <v>13</v>
      </c>
      <c r="H146" s="26" t="s">
        <v>1759</v>
      </c>
      <c r="I146" s="27" t="s">
        <v>1309</v>
      </c>
      <c r="J146" s="26" t="s">
        <v>1121</v>
      </c>
      <c r="K146" s="26" t="s">
        <v>151</v>
      </c>
      <c r="L146" s="24" t="s">
        <v>1119</v>
      </c>
      <c r="M146" s="26" t="str">
        <f aca="false">IFERROR(INDEX(W1_WYBOR!$B$6:$B$80,MATCH($L146,W1_WYBOR!$A$6:$A$80,0)),"")</f>
        <v>Funkcja własna na wspólnych komponentach (W2)</v>
      </c>
      <c r="N146" s="26" t="str">
        <f aca="false">IFERROR(INDEX(W1_WYBOR!$F$6:$F$80,MATCH($L146,W1_WYBOR!$A$6:$A$80,0)),"")</f>
        <v>WŁASNE na komponentach z W2</v>
      </c>
      <c r="O146" s="28" t="str">
        <f aca="false">IFERROR(INDEX(W1_WYBOR!$L$6:$L$80,MATCH($L146,W1_WYBOR!$A$6:$A$80,0)),"")</f>
        <v>Budujemy w aplikacji Eternal na komponentach W2</v>
      </c>
      <c r="P146" s="28" t="str">
        <f aca="false">IFERROR(INDEX(W1_WYBOR!$M$6:$M$80,MATCH($L146,W1_WYBOR!$A$6:$A$80,0)),"")</f>
        <v>Jak MVP</v>
      </c>
      <c r="Q146" s="27" t="str">
        <f aca="false">IFERROR(INDEX(W1_WYBOR!$P$6:$P$80,MATCH($L146,W1_WYBOR!$A$6:$A$80,0)),"")</f>
        <v>BEZ ZMIAN</v>
      </c>
      <c r="R146" s="26"/>
      <c r="S146" s="26" t="str">
        <f aca="false">IFERROR(INDEX(W1_WYBOR!$V$6:$V$80,MATCH($L146,W1_WYBOR!$A$6:$A$80,0)),"")</f>
        <v>Zob. kolumna uwag w W3</v>
      </c>
    </row>
    <row r="147" customFormat="false" ht="25.5" hidden="false" customHeight="true" outlineLevel="0" collapsed="false">
      <c r="A147" s="24" t="s">
        <v>1774</v>
      </c>
      <c r="B147" s="26" t="s">
        <v>1775</v>
      </c>
      <c r="C147" s="26" t="s">
        <v>1304</v>
      </c>
      <c r="D147" s="26" t="s">
        <v>1719</v>
      </c>
      <c r="E147" s="27" t="s">
        <v>1720</v>
      </c>
      <c r="F147" s="27" t="s">
        <v>1721</v>
      </c>
      <c r="G147" s="27" t="n">
        <v>13</v>
      </c>
      <c r="H147" s="26" t="s">
        <v>1759</v>
      </c>
      <c r="I147" s="27" t="s">
        <v>1309</v>
      </c>
      <c r="J147" s="26" t="s">
        <v>857</v>
      </c>
      <c r="K147" s="26" t="s">
        <v>1776</v>
      </c>
      <c r="L147" s="24" t="s">
        <v>855</v>
      </c>
      <c r="M147" s="26" t="str">
        <f aca="false">IFERROR(INDEX(W1_WYBOR!$B$6:$B$80,MATCH($L147,W1_WYBOR!$A$6:$A$80,0)),"")</f>
        <v>Przepisy i jadłospisy</v>
      </c>
      <c r="N147" s="26" t="str">
        <f aca="false">IFERROR(INDEX(W1_WYBOR!$F$6:$F$80,MATCH($L147,W1_WYBOR!$A$6:$A$80,0)),"")</f>
        <v>WŁASNE (redakcja) + model językowy</v>
      </c>
      <c r="O147" s="28" t="str">
        <f aca="false">IFERROR(INDEX(W1_WYBOR!$L$6:$L$80,MATCH($L147,W1_WYBOR!$A$6:$A$80,0)),"")</f>
        <v>Własna baza przepisów (dietetyk) + model językowy do wariantów</v>
      </c>
      <c r="P147" s="28" t="str">
        <f aca="false">IFERROR(INDEX(W1_WYBOR!$M$6:$M$80,MATCH($L147,W1_WYBOR!$A$6:$A$80,0)),"")</f>
        <v>Jak MVP</v>
      </c>
      <c r="Q147" s="27" t="str">
        <f aca="false">IFERROR(INDEX(W1_WYBOR!$P$6:$P$80,MATCH($L147,W1_WYBOR!$A$6:$A$80,0)),"")</f>
        <v>BEZ ZMIAN</v>
      </c>
      <c r="R147" s="26"/>
      <c r="S147" s="26" t="str">
        <f aca="false">IFERROR(INDEX(W1_WYBOR!$V$6:$V$80,MATCH($L147,W1_WYBOR!$A$6:$A$80,0)),"")</f>
        <v>Brak</v>
      </c>
    </row>
    <row r="148" customFormat="false" ht="25.5" hidden="false" customHeight="true" outlineLevel="0" collapsed="false">
      <c r="A148" s="24" t="s">
        <v>1777</v>
      </c>
      <c r="B148" s="26" t="s">
        <v>1778</v>
      </c>
      <c r="C148" s="26" t="s">
        <v>1304</v>
      </c>
      <c r="D148" s="26" t="s">
        <v>1719</v>
      </c>
      <c r="E148" s="27" t="s">
        <v>1720</v>
      </c>
      <c r="F148" s="27" t="s">
        <v>1721</v>
      </c>
      <c r="G148" s="27" t="n">
        <v>44</v>
      </c>
      <c r="H148" s="26" t="s">
        <v>1621</v>
      </c>
      <c r="I148" s="27" t="s">
        <v>1779</v>
      </c>
      <c r="J148" s="26" t="s">
        <v>926</v>
      </c>
      <c r="K148" s="26" t="s">
        <v>1780</v>
      </c>
      <c r="L148" s="24" t="s">
        <v>924</v>
      </c>
      <c r="M148" s="26" t="str">
        <f aca="false">IFERROR(INDEX(W1_WYBOR!$B$6:$B$80,MATCH($L148,W1_WYBOR!$A$6:$A$80,0)),"")</f>
        <v>Dozowniki leków</v>
      </c>
      <c r="N148" s="26" t="str">
        <f aca="false">IFERROR(INDEX(W1_WYBOR!$F$6:$F$80,MATCH($L148,W1_WYBOR!$A$6:$A$80,0)),"")</f>
        <v>POŚREDNICTWO PARTNERA</v>
      </c>
      <c r="O148" s="28" t="str">
        <f aca="false">IFERROR(INDEX(W1_WYBOR!$L$6:$L$80,MATCH($L148,W1_WYBOR!$A$6:$A$80,0)),"")</f>
        <v>Evondos w pakiecie Station/Senior (saszetki z apteki)</v>
      </c>
      <c r="P148" s="28" t="str">
        <f aca="false">IFERROR(INDEX(W1_WYBOR!$M$6:$M$80,MATCH($L148,W1_WYBOR!$A$6:$A$80,0)),"")</f>
        <v>Jak MVP</v>
      </c>
      <c r="Q148" s="27" t="str">
        <f aca="false">IFERROR(INDEX(W1_WYBOR!$P$6:$P$80,MATCH($L148,W1_WYBOR!$A$6:$A$80,0)),"")</f>
        <v>BEZ ZMIAN</v>
      </c>
      <c r="R148" s="26" t="s">
        <v>1781</v>
      </c>
      <c r="S148" s="26" t="str">
        <f aca="false">IFERROR(INDEX(W1_WYBOR!$V$6:$V$80,MATCH($L148,W1_WYBOR!$A$6:$A$80,0)),"")</f>
        <v>Brak</v>
      </c>
    </row>
    <row r="149" customFormat="false" ht="37.5" hidden="false" customHeight="true" outlineLevel="0" collapsed="false">
      <c r="A149" s="24" t="s">
        <v>1782</v>
      </c>
      <c r="B149" s="26" t="s">
        <v>1783</v>
      </c>
      <c r="C149" s="26" t="s">
        <v>1304</v>
      </c>
      <c r="D149" s="26" t="s">
        <v>1719</v>
      </c>
      <c r="E149" s="27" t="s">
        <v>1720</v>
      </c>
      <c r="F149" s="27" t="s">
        <v>1721</v>
      </c>
      <c r="G149" s="27" t="n">
        <v>13</v>
      </c>
      <c r="H149" s="26" t="s">
        <v>1759</v>
      </c>
      <c r="I149" s="27" t="s">
        <v>1309</v>
      </c>
      <c r="J149" s="26" t="s">
        <v>841</v>
      </c>
      <c r="K149" s="26" t="s">
        <v>1760</v>
      </c>
      <c r="L149" s="24" t="s">
        <v>839</v>
      </c>
      <c r="M149" s="26" t="str">
        <f aca="false">IFERROR(INDEX(W1_WYBOR!$B$6:$B$80,MATCH($L149,W1_WYBOR!$A$6:$A$80,0)),"")</f>
        <v>Bazy żywieniowe</v>
      </c>
      <c r="N149" s="26" t="str">
        <f aca="false">IFERROR(INDEX(W1_WYBOR!$F$6:$F$80,MATCH($L149,W1_WYBOR!$A$6:$A$80,0)),"")</f>
        <v>DANE OTWARTE u nas + licencja przy potrzebie</v>
      </c>
      <c r="O149" s="28" t="str">
        <f aca="false">IFERROR(INDEX(W1_WYBOR!$L$6:$L$80,MATCH($L149,W1_WYBOR!$A$6:$A$80,0)),"")</f>
        <v>Open Food Facts — zrzut bazy u nas (limity API wykluczają produkcję przez API) + polskie tabele składu (licencja do potwierdzenia)</v>
      </c>
      <c r="P149" s="28" t="str">
        <f aca="false">IFERROR(INDEX(W1_WYBOR!$M$6:$M$80,MATCH($L149,W1_WYBOR!$A$6:$A$80,0)),"")</f>
        <v>FatSecret Premier dla rynku PL, jeśli pokrycie OFF niewystarczające</v>
      </c>
      <c r="Q149" s="27" t="str">
        <f aca="false">IFERROR(INDEX(W1_WYBOR!$P$6:$P$80,MATCH($L149,W1_WYBOR!$A$6:$A$80,0)),"")</f>
        <v>DOPRECYZOWANIE</v>
      </c>
      <c r="R149" s="26"/>
      <c r="S149" s="26" t="str">
        <f aca="false">IFERROR(INDEX(W1_WYBOR!$V$6:$V$80,MATCH($L149,W1_WYBOR!$A$6:$A$80,0)),"")</f>
        <v>Brak</v>
      </c>
    </row>
    <row r="150" customFormat="false" ht="25.5" hidden="false" customHeight="true" outlineLevel="0" collapsed="false">
      <c r="A150" s="24" t="s">
        <v>1784</v>
      </c>
      <c r="B150" s="26" t="s">
        <v>1785</v>
      </c>
      <c r="C150" s="26" t="s">
        <v>1304</v>
      </c>
      <c r="D150" s="26" t="s">
        <v>1719</v>
      </c>
      <c r="E150" s="27" t="s">
        <v>1720</v>
      </c>
      <c r="F150" s="27" t="s">
        <v>1721</v>
      </c>
      <c r="G150" s="27" t="n">
        <v>13</v>
      </c>
      <c r="H150" s="26" t="s">
        <v>1759</v>
      </c>
      <c r="I150" s="27" t="s">
        <v>1309</v>
      </c>
      <c r="J150" s="26" t="s">
        <v>857</v>
      </c>
      <c r="K150" s="26" t="s">
        <v>1776</v>
      </c>
      <c r="L150" s="24" t="s">
        <v>855</v>
      </c>
      <c r="M150" s="26" t="str">
        <f aca="false">IFERROR(INDEX(W1_WYBOR!$B$6:$B$80,MATCH($L150,W1_WYBOR!$A$6:$A$80,0)),"")</f>
        <v>Przepisy i jadłospisy</v>
      </c>
      <c r="N150" s="26" t="str">
        <f aca="false">IFERROR(INDEX(W1_WYBOR!$F$6:$F$80,MATCH($L150,W1_WYBOR!$A$6:$A$80,0)),"")</f>
        <v>WŁASNE (redakcja) + model językowy</v>
      </c>
      <c r="O150" s="28" t="str">
        <f aca="false">IFERROR(INDEX(W1_WYBOR!$L$6:$L$80,MATCH($L150,W1_WYBOR!$A$6:$A$80,0)),"")</f>
        <v>Własna baza przepisów (dietetyk) + model językowy do wariantów</v>
      </c>
      <c r="P150" s="28" t="str">
        <f aca="false">IFERROR(INDEX(W1_WYBOR!$M$6:$M$80,MATCH($L150,W1_WYBOR!$A$6:$A$80,0)),"")</f>
        <v>Jak MVP</v>
      </c>
      <c r="Q150" s="27" t="str">
        <f aca="false">IFERROR(INDEX(W1_WYBOR!$P$6:$P$80,MATCH($L150,W1_WYBOR!$A$6:$A$80,0)),"")</f>
        <v>BEZ ZMIAN</v>
      </c>
      <c r="R150" s="26"/>
      <c r="S150" s="26" t="str">
        <f aca="false">IFERROR(INDEX(W1_WYBOR!$V$6:$V$80,MATCH($L150,W1_WYBOR!$A$6:$A$80,0)),"")</f>
        <v>Brak</v>
      </c>
    </row>
    <row r="151" customFormat="false" ht="37.5" hidden="false" customHeight="true" outlineLevel="0" collapsed="false">
      <c r="A151" s="24" t="s">
        <v>1786</v>
      </c>
      <c r="B151" s="26" t="s">
        <v>1787</v>
      </c>
      <c r="C151" s="26" t="s">
        <v>1304</v>
      </c>
      <c r="D151" s="26" t="s">
        <v>1719</v>
      </c>
      <c r="E151" s="27" t="s">
        <v>1720</v>
      </c>
      <c r="F151" s="27" t="s">
        <v>1721</v>
      </c>
      <c r="G151" s="27" t="n">
        <v>14</v>
      </c>
      <c r="H151" s="26" t="s">
        <v>1722</v>
      </c>
      <c r="I151" s="27" t="s">
        <v>1788</v>
      </c>
      <c r="J151" s="26" t="s">
        <v>1729</v>
      </c>
      <c r="K151" s="26" t="s">
        <v>1730</v>
      </c>
      <c r="L151" s="24" t="s">
        <v>1106</v>
      </c>
      <c r="M151" s="26" t="str">
        <f aca="false">IFERROR(INDEX(W1_WYBOR!$B$6:$B$80,MATCH($L151,W1_WYBOR!$A$6:$A$80,0)),"")</f>
        <v>Funkcja systemu telefonu, przeglądarki lub urządzenia (nie kupujemy)</v>
      </c>
      <c r="N151" s="26" t="str">
        <f aca="false">IFERROR(INDEX(W1_WYBOR!$F$6:$F$80,MATCH($L151,W1_WYBOR!$A$6:$A$80,0)),"")</f>
        <v>SYSTEM</v>
      </c>
      <c r="O151" s="28" t="str">
        <f aca="false">IFERROR(INDEX(W1_WYBOR!$L$6:$L$80,MATCH($L151,W1_WYBOR!$A$6:$A$80,0)),"")</f>
        <v>Funkcja systemu + nasza obsługa w aplikacji</v>
      </c>
      <c r="P151" s="28" t="str">
        <f aca="false">IFERROR(INDEX(W1_WYBOR!$M$6:$M$80,MATCH($L151,W1_WYBOR!$A$6:$A$80,0)),"")</f>
        <v>Jak MVP</v>
      </c>
      <c r="Q151" s="27" t="str">
        <f aca="false">IFERROR(INDEX(W1_WYBOR!$P$6:$P$80,MATCH($L151,W1_WYBOR!$A$6:$A$80,0)),"")</f>
        <v>BEZ ZMIAN</v>
      </c>
      <c r="R151" s="26" t="s">
        <v>1789</v>
      </c>
      <c r="S151" s="26" t="str">
        <f aca="false">IFERROR(INDEX(W1_WYBOR!$V$6:$V$80,MATCH($L151,W1_WYBOR!$A$6:$A$80,0)),"")</f>
        <v>Częściowo (PWA); pełny dostęp w aplikacji mobilnej</v>
      </c>
    </row>
    <row r="152" customFormat="false" ht="25.5" hidden="false" customHeight="true" outlineLevel="0" collapsed="false">
      <c r="A152" s="24" t="s">
        <v>1790</v>
      </c>
      <c r="B152" s="26" t="s">
        <v>1791</v>
      </c>
      <c r="C152" s="26" t="s">
        <v>1304</v>
      </c>
      <c r="D152" s="26" t="s">
        <v>1719</v>
      </c>
      <c r="E152" s="27" t="s">
        <v>1720</v>
      </c>
      <c r="F152" s="27" t="s">
        <v>1721</v>
      </c>
      <c r="G152" s="27" t="n">
        <v>13</v>
      </c>
      <c r="H152" s="26" t="s">
        <v>1759</v>
      </c>
      <c r="I152" s="27" t="s">
        <v>1792</v>
      </c>
      <c r="J152" s="26" t="s">
        <v>857</v>
      </c>
      <c r="K152" s="26" t="s">
        <v>1776</v>
      </c>
      <c r="L152" s="24" t="s">
        <v>855</v>
      </c>
      <c r="M152" s="26" t="str">
        <f aca="false">IFERROR(INDEX(W1_WYBOR!$B$6:$B$80,MATCH($L152,W1_WYBOR!$A$6:$A$80,0)),"")</f>
        <v>Przepisy i jadłospisy</v>
      </c>
      <c r="N152" s="26" t="str">
        <f aca="false">IFERROR(INDEX(W1_WYBOR!$F$6:$F$80,MATCH($L152,W1_WYBOR!$A$6:$A$80,0)),"")</f>
        <v>WŁASNE (redakcja) + model językowy</v>
      </c>
      <c r="O152" s="28" t="str">
        <f aca="false">IFERROR(INDEX(W1_WYBOR!$L$6:$L$80,MATCH($L152,W1_WYBOR!$A$6:$A$80,0)),"")</f>
        <v>Własna baza przepisów (dietetyk) + model językowy do wariantów</v>
      </c>
      <c r="P152" s="28" t="str">
        <f aca="false">IFERROR(INDEX(W1_WYBOR!$M$6:$M$80,MATCH($L152,W1_WYBOR!$A$6:$A$80,0)),"")</f>
        <v>Jak MVP</v>
      </c>
      <c r="Q152" s="27" t="str">
        <f aca="false">IFERROR(INDEX(W1_WYBOR!$P$6:$P$80,MATCH($L152,W1_WYBOR!$A$6:$A$80,0)),"")</f>
        <v>BEZ ZMIAN</v>
      </c>
      <c r="R152" s="26"/>
      <c r="S152" s="26" t="str">
        <f aca="false">IFERROR(INDEX(W1_WYBOR!$V$6:$V$80,MATCH($L152,W1_WYBOR!$A$6:$A$80,0)),"")</f>
        <v>Brak</v>
      </c>
    </row>
    <row r="153" customFormat="false" ht="37.5" hidden="false" customHeight="true" outlineLevel="0" collapsed="false">
      <c r="A153" s="24" t="s">
        <v>1793</v>
      </c>
      <c r="B153" s="26" t="s">
        <v>1794</v>
      </c>
      <c r="C153" s="26" t="s">
        <v>1304</v>
      </c>
      <c r="D153" s="26" t="s">
        <v>1719</v>
      </c>
      <c r="E153" s="27" t="s">
        <v>1720</v>
      </c>
      <c r="F153" s="27" t="s">
        <v>1721</v>
      </c>
      <c r="G153" s="27" t="n">
        <v>15</v>
      </c>
      <c r="H153" s="26" t="s">
        <v>1795</v>
      </c>
      <c r="I153" s="27" t="s">
        <v>1309</v>
      </c>
      <c r="J153" s="26" t="s">
        <v>912</v>
      </c>
      <c r="K153" s="26" t="s">
        <v>1796</v>
      </c>
      <c r="L153" s="24" t="s">
        <v>910</v>
      </c>
      <c r="M153" s="26" t="str">
        <f aca="false">IFERROR(INDEX(W1_WYBOR!$B$6:$B$80,MATCH($L153,W1_WYBOR!$A$6:$A$80,0)),"")</f>
        <v>Suplementy (zestawy partnera)</v>
      </c>
      <c r="N153" s="26" t="str">
        <f aca="false">IFERROR(INDEX(W1_WYBOR!$F$6:$F$80,MATCH($L153,W1_WYBOR!$A$6:$A$80,0)),"")</f>
        <v>DO DECYZJI — konflikt z zasadami stałymi</v>
      </c>
      <c r="O153" s="28" t="str">
        <f aca="false">IFERROR(INDEX(W1_WYBOR!$L$6:$L$80,MATCH($L153,W1_WYBOR!$A$6:$A$80,0)),"")</f>
        <v>Nie w MVP: tylko neutralna informacja i eksport danych na żądanie użytkownika; bez automatycznych sugestii produktów</v>
      </c>
      <c r="P153" s="28" t="str">
        <f aca="false">IFERROR(INDEX(W1_WYBOR!$M$6:$M$80,MATCH($L153,W1_WYBOR!$A$6:$A$80,0)),"")</f>
        <v>Partner wyłącznie po ocenie zgodności (konflikt interesów, art. 9 RODO, przepisy o suplementach)</v>
      </c>
      <c r="Q153" s="27" t="str">
        <f aca="false">IFERROR(INDEX(W1_WYBOR!$P$6:$P$80,MATCH($L153,W1_WYBOR!$A$6:$A$80,0)),"")</f>
        <v>ZMIANA</v>
      </c>
      <c r="R153" s="26" t="s">
        <v>1797</v>
      </c>
      <c r="S153" s="26" t="str">
        <f aca="false">IFERROR(INDEX(W1_WYBOR!$V$6:$V$80,MATCH($L153,W1_WYBOR!$A$6:$A$80,0)),"")</f>
        <v>Brak</v>
      </c>
    </row>
    <row r="154" customFormat="false" ht="37.5" hidden="false" customHeight="true" outlineLevel="0" collapsed="false">
      <c r="A154" s="24" t="s">
        <v>1798</v>
      </c>
      <c r="B154" s="26" t="s">
        <v>1799</v>
      </c>
      <c r="C154" s="26" t="s">
        <v>1304</v>
      </c>
      <c r="D154" s="26" t="s">
        <v>1719</v>
      </c>
      <c r="E154" s="27" t="s">
        <v>1720</v>
      </c>
      <c r="F154" s="27" t="s">
        <v>1721</v>
      </c>
      <c r="G154" s="27" t="n">
        <v>15</v>
      </c>
      <c r="H154" s="26" t="s">
        <v>1795</v>
      </c>
      <c r="I154" s="27" t="s">
        <v>1800</v>
      </c>
      <c r="J154" s="26" t="s">
        <v>912</v>
      </c>
      <c r="K154" s="26" t="s">
        <v>1796</v>
      </c>
      <c r="L154" s="24" t="s">
        <v>910</v>
      </c>
      <c r="M154" s="26" t="str">
        <f aca="false">IFERROR(INDEX(W1_WYBOR!$B$6:$B$80,MATCH($L154,W1_WYBOR!$A$6:$A$80,0)),"")</f>
        <v>Suplementy (zestawy partnera)</v>
      </c>
      <c r="N154" s="26" t="str">
        <f aca="false">IFERROR(INDEX(W1_WYBOR!$F$6:$F$80,MATCH($L154,W1_WYBOR!$A$6:$A$80,0)),"")</f>
        <v>DO DECYZJI — konflikt z zasadami stałymi</v>
      </c>
      <c r="O154" s="28" t="str">
        <f aca="false">IFERROR(INDEX(W1_WYBOR!$L$6:$L$80,MATCH($L154,W1_WYBOR!$A$6:$A$80,0)),"")</f>
        <v>Nie w MVP: tylko neutralna informacja i eksport danych na żądanie użytkownika; bez automatycznych sugestii produktów</v>
      </c>
      <c r="P154" s="28" t="str">
        <f aca="false">IFERROR(INDEX(W1_WYBOR!$M$6:$M$80,MATCH($L154,W1_WYBOR!$A$6:$A$80,0)),"")</f>
        <v>Partner wyłącznie po ocenie zgodności (konflikt interesów, art. 9 RODO, przepisy o suplementach)</v>
      </c>
      <c r="Q154" s="27" t="str">
        <f aca="false">IFERROR(INDEX(W1_WYBOR!$P$6:$P$80,MATCH($L154,W1_WYBOR!$A$6:$A$80,0)),"")</f>
        <v>ZMIANA</v>
      </c>
      <c r="R154" s="26" t="s">
        <v>1801</v>
      </c>
      <c r="S154" s="26" t="str">
        <f aca="false">IFERROR(INDEX(W1_WYBOR!$V$6:$V$80,MATCH($L154,W1_WYBOR!$A$6:$A$80,0)),"")</f>
        <v>Brak</v>
      </c>
    </row>
    <row r="155" customFormat="false" ht="37.5" hidden="false" customHeight="true" outlineLevel="0" collapsed="false">
      <c r="A155" s="24" t="s">
        <v>1802</v>
      </c>
      <c r="B155" s="26" t="s">
        <v>1803</v>
      </c>
      <c r="C155" s="26" t="s">
        <v>1304</v>
      </c>
      <c r="D155" s="26" t="s">
        <v>1719</v>
      </c>
      <c r="E155" s="27" t="s">
        <v>1720</v>
      </c>
      <c r="F155" s="27" t="s">
        <v>1721</v>
      </c>
      <c r="G155" s="27" t="n">
        <v>13</v>
      </c>
      <c r="H155" s="26" t="s">
        <v>1759</v>
      </c>
      <c r="I155" s="27" t="s">
        <v>1804</v>
      </c>
      <c r="J155" s="26" t="s">
        <v>1763</v>
      </c>
      <c r="K155" s="26" t="s">
        <v>1764</v>
      </c>
      <c r="L155" s="24" t="s">
        <v>298</v>
      </c>
      <c r="M155" s="26" t="str">
        <f aca="false">IFERROR(INDEX(W1_WYBOR!$B$6:$B$80,MATCH($L155,W1_WYBOR!$A$6:$A$80,0)),"")</f>
        <v>Modele językowe (brama modeli)</v>
      </c>
      <c r="N155" s="26" t="str">
        <f aca="false">IFERROR(INDEX(W1_WYBOR!$F$6:$F$80,MATCH($L155,W1_WYBOR!$A$6:$A$80,0)),"")</f>
        <v>KUPUJEMY USŁUGĘ za własną bramą</v>
      </c>
      <c r="O155" s="28" t="str">
        <f aca="false">IFERROR(INDEX(W1_WYBOR!$L$6:$L$80,MATCH($L155,W1_WYBOR!$A$6:$A$80,0)),"")</f>
        <v>Claude przez Amazon Bedrock (profil eu.*) za naszą bramą LiteLLM + Mistral jako drugi dostawca z UE (przełączanie)</v>
      </c>
      <c r="P155" s="28" t="str">
        <f aca="false">IFERROR(INDEX(W1_WYBOR!$M$6:$M$80,MATCH($L155,W1_WYBOR!$A$6:$A$80,0)),"")</f>
        <v>+ Bielik v3 na własnym GPU w UE do zadań prostych (porządkowanie pól, klasyfikacja)</v>
      </c>
      <c r="Q155" s="27" t="str">
        <f aca="false">IFERROR(INDEX(W1_WYBOR!$P$6:$P$80,MATCH($L155,W1_WYBOR!$A$6:$A$80,0)),"")</f>
        <v>DOPRECYZOWANIE</v>
      </c>
      <c r="R155" s="26" t="s">
        <v>1805</v>
      </c>
      <c r="S155" s="26" t="str">
        <f aca="false">IFERROR(INDEX(W1_WYBOR!$V$6:$V$80,MATCH($L155,W1_WYBOR!$A$6:$A$80,0)),"")</f>
        <v>Brak — świadomie (granica MDR w obecnej wersji)</v>
      </c>
    </row>
    <row r="156" customFormat="false" ht="25.5" hidden="false" customHeight="true" outlineLevel="0" collapsed="false">
      <c r="A156" s="24" t="s">
        <v>1806</v>
      </c>
      <c r="B156" s="26" t="s">
        <v>1807</v>
      </c>
      <c r="C156" s="26" t="s">
        <v>1304</v>
      </c>
      <c r="D156" s="26" t="s">
        <v>1719</v>
      </c>
      <c r="E156" s="27" t="s">
        <v>1720</v>
      </c>
      <c r="F156" s="27" t="s">
        <v>1721</v>
      </c>
      <c r="G156" s="27" t="n">
        <v>15</v>
      </c>
      <c r="H156" s="26" t="s">
        <v>1795</v>
      </c>
      <c r="I156" s="27" t="s">
        <v>1309</v>
      </c>
      <c r="J156" s="26" t="s">
        <v>1121</v>
      </c>
      <c r="K156" s="26" t="s">
        <v>151</v>
      </c>
      <c r="L156" s="24" t="s">
        <v>1119</v>
      </c>
      <c r="M156" s="26" t="str">
        <f aca="false">IFERROR(INDEX(W1_WYBOR!$B$6:$B$80,MATCH($L156,W1_WYBOR!$A$6:$A$80,0)),"")</f>
        <v>Funkcja własna na wspólnych komponentach (W2)</v>
      </c>
      <c r="N156" s="26" t="str">
        <f aca="false">IFERROR(INDEX(W1_WYBOR!$F$6:$F$80,MATCH($L156,W1_WYBOR!$A$6:$A$80,0)),"")</f>
        <v>WŁASNE na komponentach z W2</v>
      </c>
      <c r="O156" s="28" t="str">
        <f aca="false">IFERROR(INDEX(W1_WYBOR!$L$6:$L$80,MATCH($L156,W1_WYBOR!$A$6:$A$80,0)),"")</f>
        <v>Budujemy w aplikacji Eternal na komponentach W2</v>
      </c>
      <c r="P156" s="28" t="str">
        <f aca="false">IFERROR(INDEX(W1_WYBOR!$M$6:$M$80,MATCH($L156,W1_WYBOR!$A$6:$A$80,0)),"")</f>
        <v>Jak MVP</v>
      </c>
      <c r="Q156" s="27" t="str">
        <f aca="false">IFERROR(INDEX(W1_WYBOR!$P$6:$P$80,MATCH($L156,W1_WYBOR!$A$6:$A$80,0)),"")</f>
        <v>BEZ ZMIAN</v>
      </c>
      <c r="R156" s="26"/>
      <c r="S156" s="26" t="str">
        <f aca="false">IFERROR(INDEX(W1_WYBOR!$V$6:$V$80,MATCH($L156,W1_WYBOR!$A$6:$A$80,0)),"")</f>
        <v>Zob. kolumna uwag w W3</v>
      </c>
    </row>
    <row r="157" customFormat="false" ht="25.5" hidden="false" customHeight="true" outlineLevel="0" collapsed="false">
      <c r="A157" s="24" t="s">
        <v>1808</v>
      </c>
      <c r="B157" s="26" t="s">
        <v>1809</v>
      </c>
      <c r="C157" s="26" t="s">
        <v>1304</v>
      </c>
      <c r="D157" s="26" t="s">
        <v>1719</v>
      </c>
      <c r="E157" s="27" t="s">
        <v>1720</v>
      </c>
      <c r="F157" s="27" t="s">
        <v>1721</v>
      </c>
      <c r="G157" s="27" t="n">
        <v>15</v>
      </c>
      <c r="H157" s="26" t="s">
        <v>1795</v>
      </c>
      <c r="I157" s="27" t="s">
        <v>1309</v>
      </c>
      <c r="J157" s="26" t="s">
        <v>1121</v>
      </c>
      <c r="K157" s="26" t="s">
        <v>151</v>
      </c>
      <c r="L157" s="24" t="s">
        <v>1119</v>
      </c>
      <c r="M157" s="26" t="str">
        <f aca="false">IFERROR(INDEX(W1_WYBOR!$B$6:$B$80,MATCH($L157,W1_WYBOR!$A$6:$A$80,0)),"")</f>
        <v>Funkcja własna na wspólnych komponentach (W2)</v>
      </c>
      <c r="N157" s="26" t="str">
        <f aca="false">IFERROR(INDEX(W1_WYBOR!$F$6:$F$80,MATCH($L157,W1_WYBOR!$A$6:$A$80,0)),"")</f>
        <v>WŁASNE na komponentach z W2</v>
      </c>
      <c r="O157" s="28" t="str">
        <f aca="false">IFERROR(INDEX(W1_WYBOR!$L$6:$L$80,MATCH($L157,W1_WYBOR!$A$6:$A$80,0)),"")</f>
        <v>Budujemy w aplikacji Eternal na komponentach W2</v>
      </c>
      <c r="P157" s="28" t="str">
        <f aca="false">IFERROR(INDEX(W1_WYBOR!$M$6:$M$80,MATCH($L157,W1_WYBOR!$A$6:$A$80,0)),"")</f>
        <v>Jak MVP</v>
      </c>
      <c r="Q157" s="27" t="str">
        <f aca="false">IFERROR(INDEX(W1_WYBOR!$P$6:$P$80,MATCH($L157,W1_WYBOR!$A$6:$A$80,0)),"")</f>
        <v>BEZ ZMIAN</v>
      </c>
      <c r="R157" s="26"/>
      <c r="S157" s="26" t="str">
        <f aca="false">IFERROR(INDEX(W1_WYBOR!$V$6:$V$80,MATCH($L157,W1_WYBOR!$A$6:$A$80,0)),"")</f>
        <v>Zob. kolumna uwag w W3</v>
      </c>
    </row>
    <row r="158" customFormat="false" ht="25.5" hidden="false" customHeight="true" outlineLevel="0" collapsed="false">
      <c r="A158" s="24" t="s">
        <v>1810</v>
      </c>
      <c r="B158" s="26" t="s">
        <v>1811</v>
      </c>
      <c r="C158" s="26" t="s">
        <v>1304</v>
      </c>
      <c r="D158" s="26" t="s">
        <v>1719</v>
      </c>
      <c r="E158" s="27" t="s">
        <v>1720</v>
      </c>
      <c r="F158" s="27" t="s">
        <v>1721</v>
      </c>
      <c r="G158" s="27" t="n">
        <v>15</v>
      </c>
      <c r="H158" s="26" t="s">
        <v>1795</v>
      </c>
      <c r="I158" s="27" t="s">
        <v>1309</v>
      </c>
      <c r="J158" s="26" t="s">
        <v>1121</v>
      </c>
      <c r="K158" s="26" t="s">
        <v>151</v>
      </c>
      <c r="L158" s="24" t="s">
        <v>1119</v>
      </c>
      <c r="M158" s="26" t="str">
        <f aca="false">IFERROR(INDEX(W1_WYBOR!$B$6:$B$80,MATCH($L158,W1_WYBOR!$A$6:$A$80,0)),"")</f>
        <v>Funkcja własna na wspólnych komponentach (W2)</v>
      </c>
      <c r="N158" s="26" t="str">
        <f aca="false">IFERROR(INDEX(W1_WYBOR!$F$6:$F$80,MATCH($L158,W1_WYBOR!$A$6:$A$80,0)),"")</f>
        <v>WŁASNE na komponentach z W2</v>
      </c>
      <c r="O158" s="28" t="str">
        <f aca="false">IFERROR(INDEX(W1_WYBOR!$L$6:$L$80,MATCH($L158,W1_WYBOR!$A$6:$A$80,0)),"")</f>
        <v>Budujemy w aplikacji Eternal na komponentach W2</v>
      </c>
      <c r="P158" s="28" t="str">
        <f aca="false">IFERROR(INDEX(W1_WYBOR!$M$6:$M$80,MATCH($L158,W1_WYBOR!$A$6:$A$80,0)),"")</f>
        <v>Jak MVP</v>
      </c>
      <c r="Q158" s="27" t="str">
        <f aca="false">IFERROR(INDEX(W1_WYBOR!$P$6:$P$80,MATCH($L158,W1_WYBOR!$A$6:$A$80,0)),"")</f>
        <v>BEZ ZMIAN</v>
      </c>
      <c r="R158" s="26"/>
      <c r="S158" s="26" t="str">
        <f aca="false">IFERROR(INDEX(W1_WYBOR!$V$6:$V$80,MATCH($L158,W1_WYBOR!$A$6:$A$80,0)),"")</f>
        <v>Zob. kolumna uwag w W3</v>
      </c>
    </row>
    <row r="159" customFormat="false" ht="37.5" hidden="false" customHeight="true" outlineLevel="0" collapsed="false">
      <c r="A159" s="24" t="s">
        <v>1812</v>
      </c>
      <c r="B159" s="26" t="s">
        <v>1813</v>
      </c>
      <c r="C159" s="26" t="s">
        <v>1304</v>
      </c>
      <c r="D159" s="26" t="s">
        <v>1719</v>
      </c>
      <c r="E159" s="27" t="s">
        <v>1720</v>
      </c>
      <c r="F159" s="27" t="s">
        <v>1721</v>
      </c>
      <c r="G159" s="27" t="n">
        <v>12</v>
      </c>
      <c r="H159" s="26" t="s">
        <v>1814</v>
      </c>
      <c r="I159" s="27" t="s">
        <v>1309</v>
      </c>
      <c r="J159" s="26" t="s">
        <v>358</v>
      </c>
      <c r="K159" s="26" t="s">
        <v>1470</v>
      </c>
      <c r="L159" s="24" t="s">
        <v>356</v>
      </c>
      <c r="M159" s="26" t="str">
        <f aca="false">IFERROR(INDEX(W1_WYBOR!$B$6:$B$80,MATCH($L159,W1_WYBOR!$A$6:$A$80,0)),"")</f>
        <v>Dane zdrowotne z telefonu (Apple Zdrowie, Health Connect)</v>
      </c>
      <c r="N159" s="26" t="str">
        <f aca="false">IFERROR(INDEX(W1_WYBOR!$F$6:$F$80,MATCH($L159,W1_WYBOR!$A$6:$A$80,0)),"")</f>
        <v>SYSTEM + biblioteki open source</v>
      </c>
      <c r="O159" s="28" t="str">
        <f aca="false">IFERROR(INDEX(W1_WYBOR!$L$6:$L$80,MATCH($L159,W1_WYBOR!$A$6:$A$80,0)),"")</f>
        <v>Aplikacja mobilna React Native/Expo z HealthKit i Health Connect (biblioteki MIT); synchronizacja w tle</v>
      </c>
      <c r="P159" s="28" t="str">
        <f aca="false">IFERROR(INDEX(W1_WYBOR!$M$6:$M$80,MATCH($L159,W1_WYBOR!$A$6:$A$80,0)),"")</f>
        <v>+ Samsung Health Data SDK</v>
      </c>
      <c r="Q159" s="27" t="str">
        <f aca="false">IFERROR(INDEX(W1_WYBOR!$P$6:$P$80,MATCH($L159,W1_WYBOR!$A$6:$A$80,0)),"")</f>
        <v>DOPRECYZOWANIE</v>
      </c>
      <c r="R159" s="26"/>
      <c r="S159" s="26" t="str">
        <f aca="false">IFERROR(INDEX(W1_WYBOR!$V$6:$V$80,MATCH($L159,W1_WYBOR!$A$6:$A$80,0)),"")</f>
        <v>Brak — obecnie PWA; jest Web Bluetooth (Chrome/Edge) i Withings</v>
      </c>
    </row>
    <row r="160" customFormat="false" ht="37.5" hidden="false" customHeight="true" outlineLevel="0" collapsed="false">
      <c r="A160" s="24" t="s">
        <v>1815</v>
      </c>
      <c r="B160" s="26" t="s">
        <v>1816</v>
      </c>
      <c r="C160" s="26" t="s">
        <v>1304</v>
      </c>
      <c r="D160" s="26" t="s">
        <v>1719</v>
      </c>
      <c r="E160" s="27" t="s">
        <v>1720</v>
      </c>
      <c r="F160" s="27" t="s">
        <v>1721</v>
      </c>
      <c r="G160" s="27" t="n">
        <v>12</v>
      </c>
      <c r="H160" s="26" t="s">
        <v>1814</v>
      </c>
      <c r="I160" s="27" t="s">
        <v>1309</v>
      </c>
      <c r="J160" s="26" t="s">
        <v>437</v>
      </c>
      <c r="K160" s="26" t="s">
        <v>1817</v>
      </c>
      <c r="L160" s="24" t="s">
        <v>435</v>
      </c>
      <c r="M160" s="26" t="str">
        <f aca="false">IFERROR(INDEX(W1_WYBOR!$B$6:$B$80,MATCH($L160,W1_WYBOR!$A$6:$A$80,0)),"")</f>
        <v>Wskaźniki z danych urządzeń (sen, gotowość, „wiek”)</v>
      </c>
      <c r="N160" s="26" t="str">
        <f aca="false">IFERROR(INDEX(W1_WYBOR!$F$6:$F$80,MATCH($L160,W1_WYBOR!$A$6:$A$80,0)),"")</f>
        <v>WŁASNE jawne wskaźniki → usługa po teście</v>
      </c>
      <c r="O160" s="28" t="str">
        <f aca="false">IFERROR(INDEX(W1_WYBOR!$L$6:$L$80,MATCH($L160,W1_WYBOR!$A$6:$A$80,0)),"")</f>
        <v>Wskaźniki producenta + nasze jawne wskaźniki opisowe (bez oceny zdrowia)</v>
      </c>
      <c r="P160" s="28" t="str">
        <f aca="false">IFERROR(INDEX(W1_WYBOR!$M$6:$M$80,MATCH($L160,W1_WYBOR!$A$6:$A$80,0)),"")</f>
        <v>Sahha tylko po potwierdzeniu przetwarzania w UE i umowie powierzenia; inaczej własne</v>
      </c>
      <c r="Q160" s="27" t="str">
        <f aca="false">IFERROR(INDEX(W1_WYBOR!$P$6:$P$80,MATCH($L160,W1_WYBOR!$A$6:$A$80,0)),"")</f>
        <v>ZMIANA</v>
      </c>
      <c r="R160" s="26" t="s">
        <v>1818</v>
      </c>
      <c r="S160" s="26" t="str">
        <f aca="false">IFERROR(INDEX(W1_WYBOR!$V$6:$V$80,MATCH($L160,W1_WYBOR!$A$6:$A$80,0)),"")</f>
        <v>Brak</v>
      </c>
    </row>
    <row r="161" customFormat="false" ht="37.5" hidden="false" customHeight="true" outlineLevel="0" collapsed="false">
      <c r="A161" s="24" t="s">
        <v>1819</v>
      </c>
      <c r="B161" s="26" t="s">
        <v>1820</v>
      </c>
      <c r="C161" s="26" t="s">
        <v>1304</v>
      </c>
      <c r="D161" s="26" t="s">
        <v>1719</v>
      </c>
      <c r="E161" s="27" t="s">
        <v>1720</v>
      </c>
      <c r="F161" s="27" t="s">
        <v>1721</v>
      </c>
      <c r="G161" s="27" t="n">
        <v>12</v>
      </c>
      <c r="H161" s="26" t="s">
        <v>1814</v>
      </c>
      <c r="I161" s="27" t="s">
        <v>1309</v>
      </c>
      <c r="J161" s="26" t="s">
        <v>358</v>
      </c>
      <c r="K161" s="26" t="s">
        <v>1470</v>
      </c>
      <c r="L161" s="24" t="s">
        <v>356</v>
      </c>
      <c r="M161" s="26" t="str">
        <f aca="false">IFERROR(INDEX(W1_WYBOR!$B$6:$B$80,MATCH($L161,W1_WYBOR!$A$6:$A$80,0)),"")</f>
        <v>Dane zdrowotne z telefonu (Apple Zdrowie, Health Connect)</v>
      </c>
      <c r="N161" s="26" t="str">
        <f aca="false">IFERROR(INDEX(W1_WYBOR!$F$6:$F$80,MATCH($L161,W1_WYBOR!$A$6:$A$80,0)),"")</f>
        <v>SYSTEM + biblioteki open source</v>
      </c>
      <c r="O161" s="28" t="str">
        <f aca="false">IFERROR(INDEX(W1_WYBOR!$L$6:$L$80,MATCH($L161,W1_WYBOR!$A$6:$A$80,0)),"")</f>
        <v>Aplikacja mobilna React Native/Expo z HealthKit i Health Connect (biblioteki MIT); synchronizacja w tle</v>
      </c>
      <c r="P161" s="28" t="str">
        <f aca="false">IFERROR(INDEX(W1_WYBOR!$M$6:$M$80,MATCH($L161,W1_WYBOR!$A$6:$A$80,0)),"")</f>
        <v>+ Samsung Health Data SDK</v>
      </c>
      <c r="Q161" s="27" t="str">
        <f aca="false">IFERROR(INDEX(W1_WYBOR!$P$6:$P$80,MATCH($L161,W1_WYBOR!$A$6:$A$80,0)),"")</f>
        <v>DOPRECYZOWANIE</v>
      </c>
      <c r="R161" s="26"/>
      <c r="S161" s="26" t="str">
        <f aca="false">IFERROR(INDEX(W1_WYBOR!$V$6:$V$80,MATCH($L161,W1_WYBOR!$A$6:$A$80,0)),"")</f>
        <v>Brak — obecnie PWA; jest Web Bluetooth (Chrome/Edge) i Withings</v>
      </c>
    </row>
    <row r="162" customFormat="false" ht="25.5" hidden="false" customHeight="true" outlineLevel="0" collapsed="false">
      <c r="A162" s="24" t="s">
        <v>1821</v>
      </c>
      <c r="B162" s="26" t="s">
        <v>1822</v>
      </c>
      <c r="C162" s="26" t="s">
        <v>1304</v>
      </c>
      <c r="D162" s="26" t="s">
        <v>1719</v>
      </c>
      <c r="E162" s="27" t="s">
        <v>1720</v>
      </c>
      <c r="F162" s="27" t="s">
        <v>1721</v>
      </c>
      <c r="G162" s="27" t="n">
        <v>12</v>
      </c>
      <c r="H162" s="26" t="s">
        <v>1814</v>
      </c>
      <c r="I162" s="27" t="s">
        <v>1309</v>
      </c>
      <c r="J162" s="26" t="s">
        <v>1121</v>
      </c>
      <c r="K162" s="26" t="s">
        <v>151</v>
      </c>
      <c r="L162" s="24" t="s">
        <v>1119</v>
      </c>
      <c r="M162" s="26" t="str">
        <f aca="false">IFERROR(INDEX(W1_WYBOR!$B$6:$B$80,MATCH($L162,W1_WYBOR!$A$6:$A$80,0)),"")</f>
        <v>Funkcja własna na wspólnych komponentach (W2)</v>
      </c>
      <c r="N162" s="26" t="str">
        <f aca="false">IFERROR(INDEX(W1_WYBOR!$F$6:$F$80,MATCH($L162,W1_WYBOR!$A$6:$A$80,0)),"")</f>
        <v>WŁASNE na komponentach z W2</v>
      </c>
      <c r="O162" s="28" t="str">
        <f aca="false">IFERROR(INDEX(W1_WYBOR!$L$6:$L$80,MATCH($L162,W1_WYBOR!$A$6:$A$80,0)),"")</f>
        <v>Budujemy w aplikacji Eternal na komponentach W2</v>
      </c>
      <c r="P162" s="28" t="str">
        <f aca="false">IFERROR(INDEX(W1_WYBOR!$M$6:$M$80,MATCH($L162,W1_WYBOR!$A$6:$A$80,0)),"")</f>
        <v>Jak MVP</v>
      </c>
      <c r="Q162" s="27" t="str">
        <f aca="false">IFERROR(INDEX(W1_WYBOR!$P$6:$P$80,MATCH($L162,W1_WYBOR!$A$6:$A$80,0)),"")</f>
        <v>BEZ ZMIAN</v>
      </c>
      <c r="R162" s="26"/>
      <c r="S162" s="26" t="str">
        <f aca="false">IFERROR(INDEX(W1_WYBOR!$V$6:$V$80,MATCH($L162,W1_WYBOR!$A$6:$A$80,0)),"")</f>
        <v>Zob. kolumna uwag w W3</v>
      </c>
    </row>
    <row r="163" customFormat="false" ht="37.5" hidden="false" customHeight="true" outlineLevel="0" collapsed="false">
      <c r="A163" s="24" t="s">
        <v>1823</v>
      </c>
      <c r="B163" s="26" t="s">
        <v>1824</v>
      </c>
      <c r="C163" s="26" t="s">
        <v>1304</v>
      </c>
      <c r="D163" s="26" t="s">
        <v>1719</v>
      </c>
      <c r="E163" s="27" t="s">
        <v>1720</v>
      </c>
      <c r="F163" s="27" t="s">
        <v>1721</v>
      </c>
      <c r="G163" s="27" t="n">
        <v>12</v>
      </c>
      <c r="H163" s="26" t="s">
        <v>1814</v>
      </c>
      <c r="I163" s="27" t="s">
        <v>1309</v>
      </c>
      <c r="J163" s="26" t="s">
        <v>901</v>
      </c>
      <c r="K163" s="26" t="s">
        <v>1825</v>
      </c>
      <c r="L163" s="24" t="s">
        <v>899</v>
      </c>
      <c r="M163" s="26" t="str">
        <f aca="false">IFERROR(INDEX(W1_WYBOR!$B$6:$B$80,MATCH($L163,W1_WYBOR!$A$6:$A$80,0)),"")</f>
        <v>Programy zmiany nawyków (treści)</v>
      </c>
      <c r="N163" s="26" t="str">
        <f aca="false">IFERROR(INDEX(W1_WYBOR!$F$6:$F$80,MATCH($L163,W1_WYBOR!$A$6:$A$80,0)),"")</f>
        <v>WŁASNE TREŚCI zatwierdzone przez specjalistę</v>
      </c>
      <c r="O163" s="28" t="str">
        <f aca="false">IFERROR(INDEX(W1_WYBOR!$L$6:$L$80,MATCH($L163,W1_WYBOR!$A$6:$A$80,0)),"")</f>
        <v>Własna biblioteka treści zatwierdzona przez psychologa</v>
      </c>
      <c r="P163" s="28" t="str">
        <f aca="false">IFERROR(INDEX(W1_WYBOR!$M$6:$M$80,MATCH($L163,W1_WYBOR!$A$6:$A$80,0)),"")</f>
        <v>+ partnerzy specjalistów</v>
      </c>
      <c r="Q163" s="27" t="str">
        <f aca="false">IFERROR(INDEX(W1_WYBOR!$P$6:$P$80,MATCH($L163,W1_WYBOR!$A$6:$A$80,0)),"")</f>
        <v>BEZ ZMIAN</v>
      </c>
      <c r="R163" s="26"/>
      <c r="S163" s="26" t="str">
        <f aca="false">IFERROR(INDEX(W1_WYBOR!$V$6:$V$80,MATCH($L163,W1_WYBOR!$A$6:$A$80,0)),"")</f>
        <v>Brak</v>
      </c>
    </row>
    <row r="164" customFormat="false" ht="25.5" hidden="false" customHeight="true" outlineLevel="0" collapsed="false">
      <c r="A164" s="24" t="s">
        <v>1826</v>
      </c>
      <c r="B164" s="26" t="s">
        <v>1827</v>
      </c>
      <c r="C164" s="26" t="s">
        <v>1304</v>
      </c>
      <c r="D164" s="26" t="s">
        <v>1719</v>
      </c>
      <c r="E164" s="27" t="s">
        <v>1720</v>
      </c>
      <c r="F164" s="27" t="s">
        <v>1721</v>
      </c>
      <c r="G164" s="27" t="n">
        <v>12</v>
      </c>
      <c r="H164" s="26" t="s">
        <v>1814</v>
      </c>
      <c r="I164" s="27" t="s">
        <v>1309</v>
      </c>
      <c r="J164" s="26" t="s">
        <v>1121</v>
      </c>
      <c r="K164" s="26" t="s">
        <v>151</v>
      </c>
      <c r="L164" s="24" t="s">
        <v>1119</v>
      </c>
      <c r="M164" s="26" t="str">
        <f aca="false">IFERROR(INDEX(W1_WYBOR!$B$6:$B$80,MATCH($L164,W1_WYBOR!$A$6:$A$80,0)),"")</f>
        <v>Funkcja własna na wspólnych komponentach (W2)</v>
      </c>
      <c r="N164" s="26" t="str">
        <f aca="false">IFERROR(INDEX(W1_WYBOR!$F$6:$F$80,MATCH($L164,W1_WYBOR!$A$6:$A$80,0)),"")</f>
        <v>WŁASNE na komponentach z W2</v>
      </c>
      <c r="O164" s="28" t="str">
        <f aca="false">IFERROR(INDEX(W1_WYBOR!$L$6:$L$80,MATCH($L164,W1_WYBOR!$A$6:$A$80,0)),"")</f>
        <v>Budujemy w aplikacji Eternal na komponentach W2</v>
      </c>
      <c r="P164" s="28" t="str">
        <f aca="false">IFERROR(INDEX(W1_WYBOR!$M$6:$M$80,MATCH($L164,W1_WYBOR!$A$6:$A$80,0)),"")</f>
        <v>Jak MVP</v>
      </c>
      <c r="Q164" s="27" t="str">
        <f aca="false">IFERROR(INDEX(W1_WYBOR!$P$6:$P$80,MATCH($L164,W1_WYBOR!$A$6:$A$80,0)),"")</f>
        <v>BEZ ZMIAN</v>
      </c>
      <c r="R164" s="26"/>
      <c r="S164" s="26" t="str">
        <f aca="false">IFERROR(INDEX(W1_WYBOR!$V$6:$V$80,MATCH($L164,W1_WYBOR!$A$6:$A$80,0)),"")</f>
        <v>Zob. kolumna uwag w W3</v>
      </c>
    </row>
    <row r="165" customFormat="false" ht="25.5" hidden="false" customHeight="true" outlineLevel="0" collapsed="false">
      <c r="A165" s="24" t="s">
        <v>1828</v>
      </c>
      <c r="B165" s="26" t="s">
        <v>1829</v>
      </c>
      <c r="C165" s="26" t="s">
        <v>1304</v>
      </c>
      <c r="D165" s="26" t="s">
        <v>1719</v>
      </c>
      <c r="E165" s="27" t="s">
        <v>1720</v>
      </c>
      <c r="F165" s="27" t="s">
        <v>1721</v>
      </c>
      <c r="G165" s="27" t="n">
        <v>12</v>
      </c>
      <c r="H165" s="26" t="s">
        <v>1814</v>
      </c>
      <c r="I165" s="27" t="s">
        <v>1309</v>
      </c>
      <c r="J165" s="26" t="s">
        <v>1121</v>
      </c>
      <c r="K165" s="26" t="s">
        <v>151</v>
      </c>
      <c r="L165" s="24" t="s">
        <v>1119</v>
      </c>
      <c r="M165" s="26" t="str">
        <f aca="false">IFERROR(INDEX(W1_WYBOR!$B$6:$B$80,MATCH($L165,W1_WYBOR!$A$6:$A$80,0)),"")</f>
        <v>Funkcja własna na wspólnych komponentach (W2)</v>
      </c>
      <c r="N165" s="26" t="str">
        <f aca="false">IFERROR(INDEX(W1_WYBOR!$F$6:$F$80,MATCH($L165,W1_WYBOR!$A$6:$A$80,0)),"")</f>
        <v>WŁASNE na komponentach z W2</v>
      </c>
      <c r="O165" s="28" t="str">
        <f aca="false">IFERROR(INDEX(W1_WYBOR!$L$6:$L$80,MATCH($L165,W1_WYBOR!$A$6:$A$80,0)),"")</f>
        <v>Budujemy w aplikacji Eternal na komponentach W2</v>
      </c>
      <c r="P165" s="28" t="str">
        <f aca="false">IFERROR(INDEX(W1_WYBOR!$M$6:$M$80,MATCH($L165,W1_WYBOR!$A$6:$A$80,0)),"")</f>
        <v>Jak MVP</v>
      </c>
      <c r="Q165" s="27" t="str">
        <f aca="false">IFERROR(INDEX(W1_WYBOR!$P$6:$P$80,MATCH($L165,W1_WYBOR!$A$6:$A$80,0)),"")</f>
        <v>BEZ ZMIAN</v>
      </c>
      <c r="R165" s="26"/>
      <c r="S165" s="26" t="str">
        <f aca="false">IFERROR(INDEX(W1_WYBOR!$V$6:$V$80,MATCH($L165,W1_WYBOR!$A$6:$A$80,0)),"")</f>
        <v>Zob. kolumna uwag w W3</v>
      </c>
    </row>
    <row r="166" customFormat="false" ht="25.5" hidden="false" customHeight="true" outlineLevel="0" collapsed="false">
      <c r="A166" s="24" t="s">
        <v>1830</v>
      </c>
      <c r="B166" s="26" t="s">
        <v>1831</v>
      </c>
      <c r="C166" s="26" t="s">
        <v>1304</v>
      </c>
      <c r="D166" s="26" t="s">
        <v>1719</v>
      </c>
      <c r="E166" s="27" t="s">
        <v>1720</v>
      </c>
      <c r="F166" s="27" t="s">
        <v>1721</v>
      </c>
      <c r="G166" s="27" t="n">
        <v>12</v>
      </c>
      <c r="H166" s="26" t="s">
        <v>1814</v>
      </c>
      <c r="I166" s="27" t="s">
        <v>1309</v>
      </c>
      <c r="J166" s="26" t="s">
        <v>1121</v>
      </c>
      <c r="K166" s="26" t="s">
        <v>151</v>
      </c>
      <c r="L166" s="24" t="s">
        <v>1119</v>
      </c>
      <c r="M166" s="26" t="str">
        <f aca="false">IFERROR(INDEX(W1_WYBOR!$B$6:$B$80,MATCH($L166,W1_WYBOR!$A$6:$A$80,0)),"")</f>
        <v>Funkcja własna na wspólnych komponentach (W2)</v>
      </c>
      <c r="N166" s="26" t="str">
        <f aca="false">IFERROR(INDEX(W1_WYBOR!$F$6:$F$80,MATCH($L166,W1_WYBOR!$A$6:$A$80,0)),"")</f>
        <v>WŁASNE na komponentach z W2</v>
      </c>
      <c r="O166" s="28" t="str">
        <f aca="false">IFERROR(INDEX(W1_WYBOR!$L$6:$L$80,MATCH($L166,W1_WYBOR!$A$6:$A$80,0)),"")</f>
        <v>Budujemy w aplikacji Eternal na komponentach W2</v>
      </c>
      <c r="P166" s="28" t="str">
        <f aca="false">IFERROR(INDEX(W1_WYBOR!$M$6:$M$80,MATCH($L166,W1_WYBOR!$A$6:$A$80,0)),"")</f>
        <v>Jak MVP</v>
      </c>
      <c r="Q166" s="27" t="str">
        <f aca="false">IFERROR(INDEX(W1_WYBOR!$P$6:$P$80,MATCH($L166,W1_WYBOR!$A$6:$A$80,0)),"")</f>
        <v>BEZ ZMIAN</v>
      </c>
      <c r="R166" s="26" t="s">
        <v>1832</v>
      </c>
      <c r="S166" s="26" t="str">
        <f aca="false">IFERROR(INDEX(W1_WYBOR!$V$6:$V$80,MATCH($L166,W1_WYBOR!$A$6:$A$80,0)),"")</f>
        <v>Zob. kolumna uwag w W3</v>
      </c>
    </row>
    <row r="167" customFormat="false" ht="25.5" hidden="false" customHeight="true" outlineLevel="0" collapsed="false">
      <c r="A167" s="24" t="s">
        <v>1833</v>
      </c>
      <c r="B167" s="26" t="s">
        <v>1834</v>
      </c>
      <c r="C167" s="26" t="s">
        <v>1304</v>
      </c>
      <c r="D167" s="26" t="s">
        <v>1719</v>
      </c>
      <c r="E167" s="27" t="s">
        <v>1720</v>
      </c>
      <c r="F167" s="27" t="s">
        <v>1721</v>
      </c>
      <c r="G167" s="27" t="n">
        <v>12</v>
      </c>
      <c r="H167" s="26" t="s">
        <v>1814</v>
      </c>
      <c r="I167" s="27" t="s">
        <v>1309</v>
      </c>
      <c r="J167" s="26" t="s">
        <v>1121</v>
      </c>
      <c r="K167" s="26" t="s">
        <v>151</v>
      </c>
      <c r="L167" s="24" t="s">
        <v>1119</v>
      </c>
      <c r="M167" s="26" t="str">
        <f aca="false">IFERROR(INDEX(W1_WYBOR!$B$6:$B$80,MATCH($L167,W1_WYBOR!$A$6:$A$80,0)),"")</f>
        <v>Funkcja własna na wspólnych komponentach (W2)</v>
      </c>
      <c r="N167" s="26" t="str">
        <f aca="false">IFERROR(INDEX(W1_WYBOR!$F$6:$F$80,MATCH($L167,W1_WYBOR!$A$6:$A$80,0)),"")</f>
        <v>WŁASNE na komponentach z W2</v>
      </c>
      <c r="O167" s="28" t="str">
        <f aca="false">IFERROR(INDEX(W1_WYBOR!$L$6:$L$80,MATCH($L167,W1_WYBOR!$A$6:$A$80,0)),"")</f>
        <v>Budujemy w aplikacji Eternal na komponentach W2</v>
      </c>
      <c r="P167" s="28" t="str">
        <f aca="false">IFERROR(INDEX(W1_WYBOR!$M$6:$M$80,MATCH($L167,W1_WYBOR!$A$6:$A$80,0)),"")</f>
        <v>Jak MVP</v>
      </c>
      <c r="Q167" s="27" t="str">
        <f aca="false">IFERROR(INDEX(W1_WYBOR!$P$6:$P$80,MATCH($L167,W1_WYBOR!$A$6:$A$80,0)),"")</f>
        <v>BEZ ZMIAN</v>
      </c>
      <c r="R167" s="26"/>
      <c r="S167" s="26" t="str">
        <f aca="false">IFERROR(INDEX(W1_WYBOR!$V$6:$V$80,MATCH($L167,W1_WYBOR!$A$6:$A$80,0)),"")</f>
        <v>Zob. kolumna uwag w W3</v>
      </c>
    </row>
    <row r="168" customFormat="false" ht="25.5" hidden="false" customHeight="true" outlineLevel="0" collapsed="false">
      <c r="A168" s="24" t="s">
        <v>1835</v>
      </c>
      <c r="B168" s="26" t="s">
        <v>1836</v>
      </c>
      <c r="C168" s="26" t="s">
        <v>1304</v>
      </c>
      <c r="D168" s="26" t="s">
        <v>1719</v>
      </c>
      <c r="E168" s="27" t="s">
        <v>1720</v>
      </c>
      <c r="F168" s="27" t="s">
        <v>1721</v>
      </c>
      <c r="G168" s="27" t="n">
        <v>12</v>
      </c>
      <c r="H168" s="26" t="s">
        <v>1814</v>
      </c>
      <c r="I168" s="27" t="s">
        <v>1309</v>
      </c>
      <c r="J168" s="26" t="s">
        <v>1121</v>
      </c>
      <c r="K168" s="26" t="s">
        <v>151</v>
      </c>
      <c r="L168" s="24" t="s">
        <v>1119</v>
      </c>
      <c r="M168" s="26" t="str">
        <f aca="false">IFERROR(INDEX(W1_WYBOR!$B$6:$B$80,MATCH($L168,W1_WYBOR!$A$6:$A$80,0)),"")</f>
        <v>Funkcja własna na wspólnych komponentach (W2)</v>
      </c>
      <c r="N168" s="26" t="str">
        <f aca="false">IFERROR(INDEX(W1_WYBOR!$F$6:$F$80,MATCH($L168,W1_WYBOR!$A$6:$A$80,0)),"")</f>
        <v>WŁASNE na komponentach z W2</v>
      </c>
      <c r="O168" s="28" t="str">
        <f aca="false">IFERROR(INDEX(W1_WYBOR!$L$6:$L$80,MATCH($L168,W1_WYBOR!$A$6:$A$80,0)),"")</f>
        <v>Budujemy w aplikacji Eternal na komponentach W2</v>
      </c>
      <c r="P168" s="28" t="str">
        <f aca="false">IFERROR(INDEX(W1_WYBOR!$M$6:$M$80,MATCH($L168,W1_WYBOR!$A$6:$A$80,0)),"")</f>
        <v>Jak MVP</v>
      </c>
      <c r="Q168" s="27" t="str">
        <f aca="false">IFERROR(INDEX(W1_WYBOR!$P$6:$P$80,MATCH($L168,W1_WYBOR!$A$6:$A$80,0)),"")</f>
        <v>BEZ ZMIAN</v>
      </c>
      <c r="R168" s="26"/>
      <c r="S168" s="26" t="str">
        <f aca="false">IFERROR(INDEX(W1_WYBOR!$V$6:$V$80,MATCH($L168,W1_WYBOR!$A$6:$A$80,0)),"")</f>
        <v>Zob. kolumna uwag w W3</v>
      </c>
    </row>
    <row r="169" customFormat="false" ht="25.5" hidden="false" customHeight="true" outlineLevel="0" collapsed="false">
      <c r="A169" s="24" t="s">
        <v>1837</v>
      </c>
      <c r="B169" s="26" t="s">
        <v>1838</v>
      </c>
      <c r="C169" s="26" t="s">
        <v>1304</v>
      </c>
      <c r="D169" s="26" t="s">
        <v>1839</v>
      </c>
      <c r="E169" s="27" t="s">
        <v>1720</v>
      </c>
      <c r="F169" s="27" t="s">
        <v>1721</v>
      </c>
      <c r="G169" s="27" t="n">
        <v>30</v>
      </c>
      <c r="H169" s="26" t="s">
        <v>1840</v>
      </c>
      <c r="I169" s="27" t="s">
        <v>1309</v>
      </c>
      <c r="J169" s="26" t="s">
        <v>1121</v>
      </c>
      <c r="K169" s="26" t="s">
        <v>151</v>
      </c>
      <c r="L169" s="24" t="s">
        <v>1119</v>
      </c>
      <c r="M169" s="26" t="str">
        <f aca="false">IFERROR(INDEX(W1_WYBOR!$B$6:$B$80,MATCH($L169,W1_WYBOR!$A$6:$A$80,0)),"")</f>
        <v>Funkcja własna na wspólnych komponentach (W2)</v>
      </c>
      <c r="N169" s="26" t="str">
        <f aca="false">IFERROR(INDEX(W1_WYBOR!$F$6:$F$80,MATCH($L169,W1_WYBOR!$A$6:$A$80,0)),"")</f>
        <v>WŁASNE na komponentach z W2</v>
      </c>
      <c r="O169" s="28" t="str">
        <f aca="false">IFERROR(INDEX(W1_WYBOR!$L$6:$L$80,MATCH($L169,W1_WYBOR!$A$6:$A$80,0)),"")</f>
        <v>Budujemy w aplikacji Eternal na komponentach W2</v>
      </c>
      <c r="P169" s="28" t="str">
        <f aca="false">IFERROR(INDEX(W1_WYBOR!$M$6:$M$80,MATCH($L169,W1_WYBOR!$A$6:$A$80,0)),"")</f>
        <v>Jak MVP</v>
      </c>
      <c r="Q169" s="27" t="str">
        <f aca="false">IFERROR(INDEX(W1_WYBOR!$P$6:$P$80,MATCH($L169,W1_WYBOR!$A$6:$A$80,0)),"")</f>
        <v>BEZ ZMIAN</v>
      </c>
      <c r="R169" s="26"/>
      <c r="S169" s="26" t="str">
        <f aca="false">IFERROR(INDEX(W1_WYBOR!$V$6:$V$80,MATCH($L169,W1_WYBOR!$A$6:$A$80,0)),"")</f>
        <v>Zob. kolumna uwag w W3</v>
      </c>
    </row>
    <row r="170" customFormat="false" ht="25.5" hidden="false" customHeight="true" outlineLevel="0" collapsed="false">
      <c r="A170" s="24" t="s">
        <v>1841</v>
      </c>
      <c r="B170" s="26" t="s">
        <v>1842</v>
      </c>
      <c r="C170" s="26" t="s">
        <v>1304</v>
      </c>
      <c r="D170" s="26" t="s">
        <v>1839</v>
      </c>
      <c r="E170" s="27" t="s">
        <v>1720</v>
      </c>
      <c r="F170" s="27" t="s">
        <v>1721</v>
      </c>
      <c r="G170" s="27" t="n">
        <v>30</v>
      </c>
      <c r="H170" s="26" t="s">
        <v>1840</v>
      </c>
      <c r="I170" s="27" t="s">
        <v>1309</v>
      </c>
      <c r="J170" s="26" t="s">
        <v>965</v>
      </c>
      <c r="K170" s="26" t="s">
        <v>1843</v>
      </c>
      <c r="L170" s="24" t="s">
        <v>963</v>
      </c>
      <c r="M170" s="26" t="str">
        <f aca="false">IFERROR(INDEX(W1_WYBOR!$B$6:$B$80,MATCH($L170,W1_WYBOR!$A$6:$A$80,0)),"")</f>
        <v>Zdalne monitorowanie ciąży</v>
      </c>
      <c r="N170" s="26" t="str">
        <f aca="false">IFERROR(INDEX(W1_WYBOR!$F$6:$F$80,MATCH($L170,W1_WYBOR!$A$6:$A$80,0)),"")</f>
        <v>POŚREDNICTWO PARTNERA (CE)</v>
      </c>
      <c r="O170" s="28" t="str">
        <f aca="false">IFERROR(INDEX(W1_WYBOR!$L$6:$L$80,MATCH($L170,W1_WYBOR!$A$6:$A$80,0)),"")</f>
        <v>Pregnabit przez placówki (B2B); aplikacja pokazuje terminy i dokumenty</v>
      </c>
      <c r="P170" s="28" t="str">
        <f aca="false">IFERROR(INDEX(W1_WYBOR!$M$6:$M$80,MATCH($L170,W1_WYBOR!$A$6:$A$80,0)),"")</f>
        <v>Jak MVP</v>
      </c>
      <c r="Q170" s="27" t="str">
        <f aca="false">IFERROR(INDEX(W1_WYBOR!$P$6:$P$80,MATCH($L170,W1_WYBOR!$A$6:$A$80,0)),"")</f>
        <v>BEZ ZMIAN</v>
      </c>
      <c r="R170" s="26" t="s">
        <v>1844</v>
      </c>
      <c r="S170" s="26" t="str">
        <f aca="false">IFERROR(INDEX(W1_WYBOR!$V$6:$V$80,MATCH($L170,W1_WYBOR!$A$6:$A$80,0)),"")</f>
        <v>Brak</v>
      </c>
    </row>
    <row r="171" customFormat="false" ht="25.5" hidden="false" customHeight="true" outlineLevel="0" collapsed="false">
      <c r="A171" s="24" t="s">
        <v>1845</v>
      </c>
      <c r="B171" s="26" t="s">
        <v>1846</v>
      </c>
      <c r="C171" s="26" t="s">
        <v>1304</v>
      </c>
      <c r="D171" s="26" t="s">
        <v>1839</v>
      </c>
      <c r="E171" s="27" t="s">
        <v>1720</v>
      </c>
      <c r="F171" s="27" t="s">
        <v>1721</v>
      </c>
      <c r="G171" s="27" t="n">
        <v>30</v>
      </c>
      <c r="H171" s="26" t="s">
        <v>1840</v>
      </c>
      <c r="I171" s="27" t="s">
        <v>1309</v>
      </c>
      <c r="J171" s="26" t="s">
        <v>1121</v>
      </c>
      <c r="K171" s="26" t="s">
        <v>151</v>
      </c>
      <c r="L171" s="24" t="s">
        <v>1119</v>
      </c>
      <c r="M171" s="26" t="str">
        <f aca="false">IFERROR(INDEX(W1_WYBOR!$B$6:$B$80,MATCH($L171,W1_WYBOR!$A$6:$A$80,0)),"")</f>
        <v>Funkcja własna na wspólnych komponentach (W2)</v>
      </c>
      <c r="N171" s="26" t="str">
        <f aca="false">IFERROR(INDEX(W1_WYBOR!$F$6:$F$80,MATCH($L171,W1_WYBOR!$A$6:$A$80,0)),"")</f>
        <v>WŁASNE na komponentach z W2</v>
      </c>
      <c r="O171" s="28" t="str">
        <f aca="false">IFERROR(INDEX(W1_WYBOR!$L$6:$L$80,MATCH($L171,W1_WYBOR!$A$6:$A$80,0)),"")</f>
        <v>Budujemy w aplikacji Eternal na komponentach W2</v>
      </c>
      <c r="P171" s="28" t="str">
        <f aca="false">IFERROR(INDEX(W1_WYBOR!$M$6:$M$80,MATCH($L171,W1_WYBOR!$A$6:$A$80,0)),"")</f>
        <v>Jak MVP</v>
      </c>
      <c r="Q171" s="27" t="str">
        <f aca="false">IFERROR(INDEX(W1_WYBOR!$P$6:$P$80,MATCH($L171,W1_WYBOR!$A$6:$A$80,0)),"")</f>
        <v>BEZ ZMIAN</v>
      </c>
      <c r="R171" s="26"/>
      <c r="S171" s="26" t="str">
        <f aca="false">IFERROR(INDEX(W1_WYBOR!$V$6:$V$80,MATCH($L171,W1_WYBOR!$A$6:$A$80,0)),"")</f>
        <v>Zob. kolumna uwag w W3</v>
      </c>
    </row>
    <row r="172" customFormat="false" ht="25.5" hidden="false" customHeight="true" outlineLevel="0" collapsed="false">
      <c r="A172" s="24" t="s">
        <v>1847</v>
      </c>
      <c r="B172" s="26" t="s">
        <v>1848</v>
      </c>
      <c r="C172" s="26" t="s">
        <v>1304</v>
      </c>
      <c r="D172" s="26" t="s">
        <v>1839</v>
      </c>
      <c r="E172" s="27" t="s">
        <v>1720</v>
      </c>
      <c r="F172" s="27" t="s">
        <v>1721</v>
      </c>
      <c r="G172" s="27" t="n">
        <v>30</v>
      </c>
      <c r="H172" s="26" t="s">
        <v>1840</v>
      </c>
      <c r="I172" s="27" t="s">
        <v>1309</v>
      </c>
      <c r="J172" s="26" t="s">
        <v>1121</v>
      </c>
      <c r="K172" s="26" t="s">
        <v>151</v>
      </c>
      <c r="L172" s="24" t="s">
        <v>1119</v>
      </c>
      <c r="M172" s="26" t="str">
        <f aca="false">IFERROR(INDEX(W1_WYBOR!$B$6:$B$80,MATCH($L172,W1_WYBOR!$A$6:$A$80,0)),"")</f>
        <v>Funkcja własna na wspólnych komponentach (W2)</v>
      </c>
      <c r="N172" s="26" t="str">
        <f aca="false">IFERROR(INDEX(W1_WYBOR!$F$6:$F$80,MATCH($L172,W1_WYBOR!$A$6:$A$80,0)),"")</f>
        <v>WŁASNE na komponentach z W2</v>
      </c>
      <c r="O172" s="28" t="str">
        <f aca="false">IFERROR(INDEX(W1_WYBOR!$L$6:$L$80,MATCH($L172,W1_WYBOR!$A$6:$A$80,0)),"")</f>
        <v>Budujemy w aplikacji Eternal na komponentach W2</v>
      </c>
      <c r="P172" s="28" t="str">
        <f aca="false">IFERROR(INDEX(W1_WYBOR!$M$6:$M$80,MATCH($L172,W1_WYBOR!$A$6:$A$80,0)),"")</f>
        <v>Jak MVP</v>
      </c>
      <c r="Q172" s="27" t="str">
        <f aca="false">IFERROR(INDEX(W1_WYBOR!$P$6:$P$80,MATCH($L172,W1_WYBOR!$A$6:$A$80,0)),"")</f>
        <v>BEZ ZMIAN</v>
      </c>
      <c r="R172" s="26"/>
      <c r="S172" s="26" t="str">
        <f aca="false">IFERROR(INDEX(W1_WYBOR!$V$6:$V$80,MATCH($L172,W1_WYBOR!$A$6:$A$80,0)),"")</f>
        <v>Zob. kolumna uwag w W3</v>
      </c>
    </row>
    <row r="173" customFormat="false" ht="25.5" hidden="false" customHeight="true" outlineLevel="0" collapsed="false">
      <c r="A173" s="24" t="s">
        <v>1849</v>
      </c>
      <c r="B173" s="26" t="s">
        <v>1850</v>
      </c>
      <c r="C173" s="26" t="s">
        <v>1304</v>
      </c>
      <c r="D173" s="26" t="s">
        <v>1839</v>
      </c>
      <c r="E173" s="27" t="s">
        <v>1720</v>
      </c>
      <c r="F173" s="27" t="s">
        <v>1721</v>
      </c>
      <c r="G173" s="27" t="n">
        <v>30</v>
      </c>
      <c r="H173" s="26" t="s">
        <v>1840</v>
      </c>
      <c r="I173" s="27" t="s">
        <v>1309</v>
      </c>
      <c r="J173" s="26" t="s">
        <v>1121</v>
      </c>
      <c r="K173" s="26" t="s">
        <v>151</v>
      </c>
      <c r="L173" s="24" t="s">
        <v>1119</v>
      </c>
      <c r="M173" s="26" t="str">
        <f aca="false">IFERROR(INDEX(W1_WYBOR!$B$6:$B$80,MATCH($L173,W1_WYBOR!$A$6:$A$80,0)),"")</f>
        <v>Funkcja własna na wspólnych komponentach (W2)</v>
      </c>
      <c r="N173" s="26" t="str">
        <f aca="false">IFERROR(INDEX(W1_WYBOR!$F$6:$F$80,MATCH($L173,W1_WYBOR!$A$6:$A$80,0)),"")</f>
        <v>WŁASNE na komponentach z W2</v>
      </c>
      <c r="O173" s="28" t="str">
        <f aca="false">IFERROR(INDEX(W1_WYBOR!$L$6:$L$80,MATCH($L173,W1_WYBOR!$A$6:$A$80,0)),"")</f>
        <v>Budujemy w aplikacji Eternal na komponentach W2</v>
      </c>
      <c r="P173" s="28" t="str">
        <f aca="false">IFERROR(INDEX(W1_WYBOR!$M$6:$M$80,MATCH($L173,W1_WYBOR!$A$6:$A$80,0)),"")</f>
        <v>Jak MVP</v>
      </c>
      <c r="Q173" s="27" t="str">
        <f aca="false">IFERROR(INDEX(W1_WYBOR!$P$6:$P$80,MATCH($L173,W1_WYBOR!$A$6:$A$80,0)),"")</f>
        <v>BEZ ZMIAN</v>
      </c>
      <c r="R173" s="26"/>
      <c r="S173" s="26" t="str">
        <f aca="false">IFERROR(INDEX(W1_WYBOR!$V$6:$V$80,MATCH($L173,W1_WYBOR!$A$6:$A$80,0)),"")</f>
        <v>Zob. kolumna uwag w W3</v>
      </c>
    </row>
    <row r="174" customFormat="false" ht="25.5" hidden="false" customHeight="true" outlineLevel="0" collapsed="false">
      <c r="A174" s="24" t="s">
        <v>1851</v>
      </c>
      <c r="B174" s="26" t="s">
        <v>1852</v>
      </c>
      <c r="C174" s="26" t="s">
        <v>1304</v>
      </c>
      <c r="D174" s="26" t="s">
        <v>1839</v>
      </c>
      <c r="E174" s="27" t="s">
        <v>1720</v>
      </c>
      <c r="F174" s="27" t="s">
        <v>1721</v>
      </c>
      <c r="G174" s="27" t="n">
        <v>30</v>
      </c>
      <c r="H174" s="26" t="s">
        <v>1840</v>
      </c>
      <c r="I174" s="27" t="s">
        <v>1309</v>
      </c>
      <c r="J174" s="26" t="s">
        <v>1121</v>
      </c>
      <c r="K174" s="26" t="s">
        <v>151</v>
      </c>
      <c r="L174" s="24" t="s">
        <v>1119</v>
      </c>
      <c r="M174" s="26" t="str">
        <f aca="false">IFERROR(INDEX(W1_WYBOR!$B$6:$B$80,MATCH($L174,W1_WYBOR!$A$6:$A$80,0)),"")</f>
        <v>Funkcja własna na wspólnych komponentach (W2)</v>
      </c>
      <c r="N174" s="26" t="str">
        <f aca="false">IFERROR(INDEX(W1_WYBOR!$F$6:$F$80,MATCH($L174,W1_WYBOR!$A$6:$A$80,0)),"")</f>
        <v>WŁASNE na komponentach z W2</v>
      </c>
      <c r="O174" s="28" t="str">
        <f aca="false">IFERROR(INDEX(W1_WYBOR!$L$6:$L$80,MATCH($L174,W1_WYBOR!$A$6:$A$80,0)),"")</f>
        <v>Budujemy w aplikacji Eternal na komponentach W2</v>
      </c>
      <c r="P174" s="28" t="str">
        <f aca="false">IFERROR(INDEX(W1_WYBOR!$M$6:$M$80,MATCH($L174,W1_WYBOR!$A$6:$A$80,0)),"")</f>
        <v>Jak MVP</v>
      </c>
      <c r="Q174" s="27" t="str">
        <f aca="false">IFERROR(INDEX(W1_WYBOR!$P$6:$P$80,MATCH($L174,W1_WYBOR!$A$6:$A$80,0)),"")</f>
        <v>BEZ ZMIAN</v>
      </c>
      <c r="R174" s="26" t="s">
        <v>1853</v>
      </c>
      <c r="S174" s="26" t="str">
        <f aca="false">IFERROR(INDEX(W1_WYBOR!$V$6:$V$80,MATCH($L174,W1_WYBOR!$A$6:$A$80,0)),"")</f>
        <v>Zob. kolumna uwag w W3</v>
      </c>
    </row>
    <row r="175" customFormat="false" ht="25.5" hidden="false" customHeight="true" outlineLevel="0" collapsed="false">
      <c r="A175" s="24" t="s">
        <v>1854</v>
      </c>
      <c r="B175" s="26" t="s">
        <v>1855</v>
      </c>
      <c r="C175" s="26" t="s">
        <v>1304</v>
      </c>
      <c r="D175" s="26" t="s">
        <v>1839</v>
      </c>
      <c r="E175" s="27" t="s">
        <v>1720</v>
      </c>
      <c r="F175" s="27" t="s">
        <v>1721</v>
      </c>
      <c r="G175" s="27" t="n">
        <v>30</v>
      </c>
      <c r="H175" s="26" t="s">
        <v>1840</v>
      </c>
      <c r="I175" s="27" t="s">
        <v>1309</v>
      </c>
      <c r="J175" s="26" t="s">
        <v>1121</v>
      </c>
      <c r="K175" s="26" t="s">
        <v>151</v>
      </c>
      <c r="L175" s="24" t="s">
        <v>1119</v>
      </c>
      <c r="M175" s="26" t="str">
        <f aca="false">IFERROR(INDEX(W1_WYBOR!$B$6:$B$80,MATCH($L175,W1_WYBOR!$A$6:$A$80,0)),"")</f>
        <v>Funkcja własna na wspólnych komponentach (W2)</v>
      </c>
      <c r="N175" s="26" t="str">
        <f aca="false">IFERROR(INDEX(W1_WYBOR!$F$6:$F$80,MATCH($L175,W1_WYBOR!$A$6:$A$80,0)),"")</f>
        <v>WŁASNE na komponentach z W2</v>
      </c>
      <c r="O175" s="28" t="str">
        <f aca="false">IFERROR(INDEX(W1_WYBOR!$L$6:$L$80,MATCH($L175,W1_WYBOR!$A$6:$A$80,0)),"")</f>
        <v>Budujemy w aplikacji Eternal na komponentach W2</v>
      </c>
      <c r="P175" s="28" t="str">
        <f aca="false">IFERROR(INDEX(W1_WYBOR!$M$6:$M$80,MATCH($L175,W1_WYBOR!$A$6:$A$80,0)),"")</f>
        <v>Jak MVP</v>
      </c>
      <c r="Q175" s="27" t="str">
        <f aca="false">IFERROR(INDEX(W1_WYBOR!$P$6:$P$80,MATCH($L175,W1_WYBOR!$A$6:$A$80,0)),"")</f>
        <v>BEZ ZMIAN</v>
      </c>
      <c r="R175" s="26" t="s">
        <v>1856</v>
      </c>
      <c r="S175" s="26" t="str">
        <f aca="false">IFERROR(INDEX(W1_WYBOR!$V$6:$V$80,MATCH($L175,W1_WYBOR!$A$6:$A$80,0)),"")</f>
        <v>Zob. kolumna uwag w W3</v>
      </c>
    </row>
    <row r="176" customFormat="false" ht="25.5" hidden="false" customHeight="true" outlineLevel="0" collapsed="false">
      <c r="A176" s="24" t="s">
        <v>1857</v>
      </c>
      <c r="B176" s="26" t="s">
        <v>1858</v>
      </c>
      <c r="C176" s="26" t="s">
        <v>1304</v>
      </c>
      <c r="D176" s="26" t="s">
        <v>1839</v>
      </c>
      <c r="E176" s="27" t="s">
        <v>1720</v>
      </c>
      <c r="F176" s="27" t="s">
        <v>1721</v>
      </c>
      <c r="G176" s="27" t="n">
        <v>30</v>
      </c>
      <c r="H176" s="26" t="s">
        <v>1840</v>
      </c>
      <c r="I176" s="27" t="s">
        <v>1859</v>
      </c>
      <c r="J176" s="26" t="s">
        <v>1121</v>
      </c>
      <c r="K176" s="26" t="s">
        <v>151</v>
      </c>
      <c r="L176" s="24" t="s">
        <v>1119</v>
      </c>
      <c r="M176" s="26" t="str">
        <f aca="false">IFERROR(INDEX(W1_WYBOR!$B$6:$B$80,MATCH($L176,W1_WYBOR!$A$6:$A$80,0)),"")</f>
        <v>Funkcja własna na wspólnych komponentach (W2)</v>
      </c>
      <c r="N176" s="26" t="str">
        <f aca="false">IFERROR(INDEX(W1_WYBOR!$F$6:$F$80,MATCH($L176,W1_WYBOR!$A$6:$A$80,0)),"")</f>
        <v>WŁASNE na komponentach z W2</v>
      </c>
      <c r="O176" s="28" t="str">
        <f aca="false">IFERROR(INDEX(W1_WYBOR!$L$6:$L$80,MATCH($L176,W1_WYBOR!$A$6:$A$80,0)),"")</f>
        <v>Budujemy w aplikacji Eternal na komponentach W2</v>
      </c>
      <c r="P176" s="28" t="str">
        <f aca="false">IFERROR(INDEX(W1_WYBOR!$M$6:$M$80,MATCH($L176,W1_WYBOR!$A$6:$A$80,0)),"")</f>
        <v>Jak MVP</v>
      </c>
      <c r="Q176" s="27" t="str">
        <f aca="false">IFERROR(INDEX(W1_WYBOR!$P$6:$P$80,MATCH($L176,W1_WYBOR!$A$6:$A$80,0)),"")</f>
        <v>BEZ ZMIAN</v>
      </c>
      <c r="R176" s="26"/>
      <c r="S176" s="26" t="str">
        <f aca="false">IFERROR(INDEX(W1_WYBOR!$V$6:$V$80,MATCH($L176,W1_WYBOR!$A$6:$A$80,0)),"")</f>
        <v>Zob. kolumna uwag w W3</v>
      </c>
    </row>
    <row r="177" customFormat="false" ht="25.5" hidden="false" customHeight="true" outlineLevel="0" collapsed="false">
      <c r="A177" s="24" t="s">
        <v>1860</v>
      </c>
      <c r="B177" s="26" t="s">
        <v>1861</v>
      </c>
      <c r="C177" s="26" t="s">
        <v>1304</v>
      </c>
      <c r="D177" s="26" t="s">
        <v>1839</v>
      </c>
      <c r="E177" s="27" t="s">
        <v>1720</v>
      </c>
      <c r="F177" s="27" t="s">
        <v>1721</v>
      </c>
      <c r="G177" s="27" t="n">
        <v>31</v>
      </c>
      <c r="H177" s="26" t="s">
        <v>1862</v>
      </c>
      <c r="I177" s="27" t="s">
        <v>1863</v>
      </c>
      <c r="J177" s="26" t="s">
        <v>1121</v>
      </c>
      <c r="K177" s="26" t="s">
        <v>151</v>
      </c>
      <c r="L177" s="24" t="s">
        <v>1119</v>
      </c>
      <c r="M177" s="26" t="str">
        <f aca="false">IFERROR(INDEX(W1_WYBOR!$B$6:$B$80,MATCH($L177,W1_WYBOR!$A$6:$A$80,0)),"")</f>
        <v>Funkcja własna na wspólnych komponentach (W2)</v>
      </c>
      <c r="N177" s="26" t="str">
        <f aca="false">IFERROR(INDEX(W1_WYBOR!$F$6:$F$80,MATCH($L177,W1_WYBOR!$A$6:$A$80,0)),"")</f>
        <v>WŁASNE na komponentach z W2</v>
      </c>
      <c r="O177" s="28" t="str">
        <f aca="false">IFERROR(INDEX(W1_WYBOR!$L$6:$L$80,MATCH($L177,W1_WYBOR!$A$6:$A$80,0)),"")</f>
        <v>Budujemy w aplikacji Eternal na komponentach W2</v>
      </c>
      <c r="P177" s="28" t="str">
        <f aca="false">IFERROR(INDEX(W1_WYBOR!$M$6:$M$80,MATCH($L177,W1_WYBOR!$A$6:$A$80,0)),"")</f>
        <v>Jak MVP</v>
      </c>
      <c r="Q177" s="27" t="str">
        <f aca="false">IFERROR(INDEX(W1_WYBOR!$P$6:$P$80,MATCH($L177,W1_WYBOR!$A$6:$A$80,0)),"")</f>
        <v>BEZ ZMIAN</v>
      </c>
      <c r="R177" s="26"/>
      <c r="S177" s="26" t="str">
        <f aca="false">IFERROR(INDEX(W1_WYBOR!$V$6:$V$80,MATCH($L177,W1_WYBOR!$A$6:$A$80,0)),"")</f>
        <v>Zob. kolumna uwag w W3</v>
      </c>
    </row>
    <row r="178" customFormat="false" ht="25.5" hidden="false" customHeight="true" outlineLevel="0" collapsed="false">
      <c r="A178" s="24" t="s">
        <v>1864</v>
      </c>
      <c r="B178" s="26" t="s">
        <v>1865</v>
      </c>
      <c r="C178" s="26" t="s">
        <v>1304</v>
      </c>
      <c r="D178" s="26" t="s">
        <v>1866</v>
      </c>
      <c r="E178" s="27" t="s">
        <v>1720</v>
      </c>
      <c r="F178" s="27" t="s">
        <v>1721</v>
      </c>
      <c r="G178" s="27" t="n">
        <v>16</v>
      </c>
      <c r="H178" s="26" t="s">
        <v>1867</v>
      </c>
      <c r="I178" s="27" t="s">
        <v>1309</v>
      </c>
      <c r="J178" s="26" t="s">
        <v>936</v>
      </c>
      <c r="K178" s="26" t="s">
        <v>942</v>
      </c>
      <c r="L178" s="24" t="s">
        <v>935</v>
      </c>
      <c r="M178" s="26" t="str">
        <f aca="false">IFERROR(INDEX(W1_WYBOR!$B$6:$B$80,MATCH($L178,W1_WYBOR!$A$6:$A$80,0)),"")</f>
        <v>Dane pogodowe</v>
      </c>
      <c r="N178" s="26" t="str">
        <f aca="false">IFERROR(INDEX(W1_WYBOR!$F$6:$F$80,MATCH($L178,W1_WYBOR!$A$6:$A$80,0)),"")</f>
        <v>DANE PUBLICZNE + licencja komercyjna</v>
      </c>
      <c r="O178" s="28" t="str">
        <f aca="false">IFERROR(INDEX(W1_WYBOR!$L$6:$L$80,MATCH($L178,W1_WYBOR!$A$6:$A$80,0)),"")</f>
        <v>IMGW (bieżące) + Open-Meteo Standard (prognozy)</v>
      </c>
      <c r="P178" s="28" t="str">
        <f aca="false">IFERROR(INDEX(W1_WYBOR!$M$6:$M$80,MATCH($L178,W1_WYBOR!$A$6:$A$80,0)),"")</f>
        <v>Jak MVP</v>
      </c>
      <c r="Q178" s="27" t="str">
        <f aca="false">IFERROR(INDEX(W1_WYBOR!$P$6:$P$80,MATCH($L178,W1_WYBOR!$A$6:$A$80,0)),"")</f>
        <v>DOPRECYZOWANIE</v>
      </c>
      <c r="R178" s="26" t="s">
        <v>1868</v>
      </c>
      <c r="S178" s="26" t="str">
        <f aca="false">IFERROR(INDEX(W1_WYBOR!$V$6:$V$80,MATCH($L178,W1_WYBOR!$A$6:$A$80,0)),"")</f>
        <v>Brak</v>
      </c>
    </row>
    <row r="179" customFormat="false" ht="25.5" hidden="false" customHeight="true" outlineLevel="0" collapsed="false">
      <c r="A179" s="24" t="s">
        <v>1869</v>
      </c>
      <c r="B179" s="26" t="s">
        <v>1870</v>
      </c>
      <c r="C179" s="26" t="s">
        <v>1304</v>
      </c>
      <c r="D179" s="26" t="s">
        <v>1866</v>
      </c>
      <c r="E179" s="27" t="s">
        <v>1720</v>
      </c>
      <c r="F179" s="27" t="s">
        <v>1721</v>
      </c>
      <c r="G179" s="27" t="n">
        <v>16</v>
      </c>
      <c r="H179" s="26" t="s">
        <v>1867</v>
      </c>
      <c r="I179" s="27" t="s">
        <v>1309</v>
      </c>
      <c r="J179" s="26" t="s">
        <v>953</v>
      </c>
      <c r="K179" s="26" t="s">
        <v>956</v>
      </c>
      <c r="L179" s="24" t="s">
        <v>951</v>
      </c>
      <c r="M179" s="26" t="str">
        <f aca="false">IFERROR(INDEX(W1_WYBOR!$B$6:$B$80,MATCH($L179,W1_WYBOR!$A$6:$A$80,0)),"")</f>
        <v>Jakość powietrza</v>
      </c>
      <c r="N179" s="26" t="str">
        <f aca="false">IFERROR(INDEX(W1_WYBOR!$F$6:$F$80,MATCH($L179,W1_WYBOR!$A$6:$A$80,0)),"")</f>
        <v>DANE PUBLICZNE</v>
      </c>
      <c r="O179" s="28" t="str">
        <f aca="false">IFERROR(INDEX(W1_WYBOR!$L$6:$L$80,MATCH($L179,W1_WYBOR!$A$6:$A$80,0)),"")</f>
        <v>GIOŚ (nowe API) + prognozy z Open-Meteo</v>
      </c>
      <c r="P179" s="28" t="str">
        <f aca="false">IFERROR(INDEX(W1_WYBOR!$M$6:$M$80,MATCH($L179,W1_WYBOR!$A$6:$A$80,0)),"")</f>
        <v>+ Airly w miastach</v>
      </c>
      <c r="Q179" s="27" t="str">
        <f aca="false">IFERROR(INDEX(W1_WYBOR!$P$6:$P$80,MATCH($L179,W1_WYBOR!$A$6:$A$80,0)),"")</f>
        <v>BEZ ZMIAN</v>
      </c>
      <c r="R179" s="26" t="s">
        <v>1871</v>
      </c>
      <c r="S179" s="26" t="str">
        <f aca="false">IFERROR(INDEX(W1_WYBOR!$V$6:$V$80,MATCH($L179,W1_WYBOR!$A$6:$A$80,0)),"")</f>
        <v>Brak</v>
      </c>
    </row>
    <row r="180" customFormat="false" ht="37.5" hidden="false" customHeight="true" outlineLevel="0" collapsed="false">
      <c r="A180" s="24" t="s">
        <v>1872</v>
      </c>
      <c r="B180" s="26" t="s">
        <v>1873</v>
      </c>
      <c r="C180" s="26" t="s">
        <v>1304</v>
      </c>
      <c r="D180" s="26" t="s">
        <v>1866</v>
      </c>
      <c r="E180" s="27" t="s">
        <v>1720</v>
      </c>
      <c r="F180" s="27" t="s">
        <v>1721</v>
      </c>
      <c r="G180" s="27" t="n">
        <v>16</v>
      </c>
      <c r="H180" s="26" t="s">
        <v>1867</v>
      </c>
      <c r="I180" s="27" t="s">
        <v>1309</v>
      </c>
      <c r="J180" s="26" t="s">
        <v>358</v>
      </c>
      <c r="K180" s="26" t="s">
        <v>1470</v>
      </c>
      <c r="L180" s="24" t="s">
        <v>356</v>
      </c>
      <c r="M180" s="26" t="str">
        <f aca="false">IFERROR(INDEX(W1_WYBOR!$B$6:$B$80,MATCH($L180,W1_WYBOR!$A$6:$A$80,0)),"")</f>
        <v>Dane zdrowotne z telefonu (Apple Zdrowie, Health Connect)</v>
      </c>
      <c r="N180" s="26" t="str">
        <f aca="false">IFERROR(INDEX(W1_WYBOR!$F$6:$F$80,MATCH($L180,W1_WYBOR!$A$6:$A$80,0)),"")</f>
        <v>SYSTEM + biblioteki open source</v>
      </c>
      <c r="O180" s="28" t="str">
        <f aca="false">IFERROR(INDEX(W1_WYBOR!$L$6:$L$80,MATCH($L180,W1_WYBOR!$A$6:$A$80,0)),"")</f>
        <v>Aplikacja mobilna React Native/Expo z HealthKit i Health Connect (biblioteki MIT); synchronizacja w tle</v>
      </c>
      <c r="P180" s="28" t="str">
        <f aca="false">IFERROR(INDEX(W1_WYBOR!$M$6:$M$80,MATCH($L180,W1_WYBOR!$A$6:$A$80,0)),"")</f>
        <v>+ Samsung Health Data SDK</v>
      </c>
      <c r="Q180" s="27" t="str">
        <f aca="false">IFERROR(INDEX(W1_WYBOR!$P$6:$P$80,MATCH($L180,W1_WYBOR!$A$6:$A$80,0)),"")</f>
        <v>DOPRECYZOWANIE</v>
      </c>
      <c r="R180" s="26"/>
      <c r="S180" s="26" t="str">
        <f aca="false">IFERROR(INDEX(W1_WYBOR!$V$6:$V$80,MATCH($L180,W1_WYBOR!$A$6:$A$80,0)),"")</f>
        <v>Brak — obecnie PWA; jest Web Bluetooth (Chrome/Edge) i Withings</v>
      </c>
    </row>
    <row r="181" customFormat="false" ht="37.5" hidden="false" customHeight="true" outlineLevel="0" collapsed="false">
      <c r="A181" s="24" t="s">
        <v>1874</v>
      </c>
      <c r="B181" s="26" t="s">
        <v>1875</v>
      </c>
      <c r="C181" s="26" t="s">
        <v>1304</v>
      </c>
      <c r="D181" s="26" t="s">
        <v>1866</v>
      </c>
      <c r="E181" s="27" t="s">
        <v>1720</v>
      </c>
      <c r="F181" s="27" t="s">
        <v>1721</v>
      </c>
      <c r="G181" s="27" t="n">
        <v>16</v>
      </c>
      <c r="H181" s="26" t="s">
        <v>1867</v>
      </c>
      <c r="I181" s="27" t="s">
        <v>1309</v>
      </c>
      <c r="J181" s="26" t="s">
        <v>437</v>
      </c>
      <c r="K181" s="26" t="s">
        <v>1817</v>
      </c>
      <c r="L181" s="24" t="s">
        <v>435</v>
      </c>
      <c r="M181" s="26" t="str">
        <f aca="false">IFERROR(INDEX(W1_WYBOR!$B$6:$B$80,MATCH($L181,W1_WYBOR!$A$6:$A$80,0)),"")</f>
        <v>Wskaźniki z danych urządzeń (sen, gotowość, „wiek”)</v>
      </c>
      <c r="N181" s="26" t="str">
        <f aca="false">IFERROR(INDEX(W1_WYBOR!$F$6:$F$80,MATCH($L181,W1_WYBOR!$A$6:$A$80,0)),"")</f>
        <v>WŁASNE jawne wskaźniki → usługa po teście</v>
      </c>
      <c r="O181" s="28" t="str">
        <f aca="false">IFERROR(INDEX(W1_WYBOR!$L$6:$L$80,MATCH($L181,W1_WYBOR!$A$6:$A$80,0)),"")</f>
        <v>Wskaźniki producenta + nasze jawne wskaźniki opisowe (bez oceny zdrowia)</v>
      </c>
      <c r="P181" s="28" t="str">
        <f aca="false">IFERROR(INDEX(W1_WYBOR!$M$6:$M$80,MATCH($L181,W1_WYBOR!$A$6:$A$80,0)),"")</f>
        <v>Sahha tylko po potwierdzeniu przetwarzania w UE i umowie powierzenia; inaczej własne</v>
      </c>
      <c r="Q181" s="27" t="str">
        <f aca="false">IFERROR(INDEX(W1_WYBOR!$P$6:$P$80,MATCH($L181,W1_WYBOR!$A$6:$A$80,0)),"")</f>
        <v>ZMIANA</v>
      </c>
      <c r="R181" s="26" t="s">
        <v>1876</v>
      </c>
      <c r="S181" s="26" t="str">
        <f aca="false">IFERROR(INDEX(W1_WYBOR!$V$6:$V$80,MATCH($L181,W1_WYBOR!$A$6:$A$80,0)),"")</f>
        <v>Brak</v>
      </c>
    </row>
    <row r="182" customFormat="false" ht="25.5" hidden="false" customHeight="true" outlineLevel="0" collapsed="false">
      <c r="A182" s="24" t="s">
        <v>1877</v>
      </c>
      <c r="B182" s="26" t="s">
        <v>1878</v>
      </c>
      <c r="C182" s="26" t="s">
        <v>1304</v>
      </c>
      <c r="D182" s="26" t="s">
        <v>1866</v>
      </c>
      <c r="E182" s="27" t="s">
        <v>1720</v>
      </c>
      <c r="F182" s="27" t="s">
        <v>1721</v>
      </c>
      <c r="G182" s="27" t="n">
        <v>16</v>
      </c>
      <c r="H182" s="26" t="s">
        <v>1867</v>
      </c>
      <c r="I182" s="27" t="s">
        <v>1309</v>
      </c>
      <c r="J182" s="26" t="s">
        <v>1121</v>
      </c>
      <c r="K182" s="26" t="s">
        <v>151</v>
      </c>
      <c r="L182" s="24" t="s">
        <v>1119</v>
      </c>
      <c r="M182" s="26" t="str">
        <f aca="false">IFERROR(INDEX(W1_WYBOR!$B$6:$B$80,MATCH($L182,W1_WYBOR!$A$6:$A$80,0)),"")</f>
        <v>Funkcja własna na wspólnych komponentach (W2)</v>
      </c>
      <c r="N182" s="26" t="str">
        <f aca="false">IFERROR(INDEX(W1_WYBOR!$F$6:$F$80,MATCH($L182,W1_WYBOR!$A$6:$A$80,0)),"")</f>
        <v>WŁASNE na komponentach z W2</v>
      </c>
      <c r="O182" s="28" t="str">
        <f aca="false">IFERROR(INDEX(W1_WYBOR!$L$6:$L$80,MATCH($L182,W1_WYBOR!$A$6:$A$80,0)),"")</f>
        <v>Budujemy w aplikacji Eternal na komponentach W2</v>
      </c>
      <c r="P182" s="28" t="str">
        <f aca="false">IFERROR(INDEX(W1_WYBOR!$M$6:$M$80,MATCH($L182,W1_WYBOR!$A$6:$A$80,0)),"")</f>
        <v>Jak MVP</v>
      </c>
      <c r="Q182" s="27" t="str">
        <f aca="false">IFERROR(INDEX(W1_WYBOR!$P$6:$P$80,MATCH($L182,W1_WYBOR!$A$6:$A$80,0)),"")</f>
        <v>BEZ ZMIAN</v>
      </c>
      <c r="R182" s="26"/>
      <c r="S182" s="26" t="str">
        <f aca="false">IFERROR(INDEX(W1_WYBOR!$V$6:$V$80,MATCH($L182,W1_WYBOR!$A$6:$A$80,0)),"")</f>
        <v>Zob. kolumna uwag w W3</v>
      </c>
    </row>
    <row r="183" customFormat="false" ht="25.5" hidden="false" customHeight="true" outlineLevel="0" collapsed="false">
      <c r="A183" s="24" t="s">
        <v>1879</v>
      </c>
      <c r="B183" s="26" t="s">
        <v>1880</v>
      </c>
      <c r="C183" s="26" t="s">
        <v>1304</v>
      </c>
      <c r="D183" s="26" t="s">
        <v>1866</v>
      </c>
      <c r="E183" s="27" t="s">
        <v>1720</v>
      </c>
      <c r="F183" s="27" t="s">
        <v>1721</v>
      </c>
      <c r="G183" s="27" t="n">
        <v>16</v>
      </c>
      <c r="H183" s="26" t="s">
        <v>1867</v>
      </c>
      <c r="I183" s="27" t="s">
        <v>1309</v>
      </c>
      <c r="J183" s="26" t="s">
        <v>1121</v>
      </c>
      <c r="K183" s="26" t="s">
        <v>151</v>
      </c>
      <c r="L183" s="24" t="s">
        <v>1119</v>
      </c>
      <c r="M183" s="26" t="str">
        <f aca="false">IFERROR(INDEX(W1_WYBOR!$B$6:$B$80,MATCH($L183,W1_WYBOR!$A$6:$A$80,0)),"")</f>
        <v>Funkcja własna na wspólnych komponentach (W2)</v>
      </c>
      <c r="N183" s="26" t="str">
        <f aca="false">IFERROR(INDEX(W1_WYBOR!$F$6:$F$80,MATCH($L183,W1_WYBOR!$A$6:$A$80,0)),"")</f>
        <v>WŁASNE na komponentach z W2</v>
      </c>
      <c r="O183" s="28" t="str">
        <f aca="false">IFERROR(INDEX(W1_WYBOR!$L$6:$L$80,MATCH($L183,W1_WYBOR!$A$6:$A$80,0)),"")</f>
        <v>Budujemy w aplikacji Eternal na komponentach W2</v>
      </c>
      <c r="P183" s="28" t="str">
        <f aca="false">IFERROR(INDEX(W1_WYBOR!$M$6:$M$80,MATCH($L183,W1_WYBOR!$A$6:$A$80,0)),"")</f>
        <v>Jak MVP</v>
      </c>
      <c r="Q183" s="27" t="str">
        <f aca="false">IFERROR(INDEX(W1_WYBOR!$P$6:$P$80,MATCH($L183,W1_WYBOR!$A$6:$A$80,0)),"")</f>
        <v>BEZ ZMIAN</v>
      </c>
      <c r="R183" s="26" t="s">
        <v>1881</v>
      </c>
      <c r="S183" s="26" t="str">
        <f aca="false">IFERROR(INDEX(W1_WYBOR!$V$6:$V$80,MATCH($L183,W1_WYBOR!$A$6:$A$80,0)),"")</f>
        <v>Zob. kolumna uwag w W3</v>
      </c>
    </row>
    <row r="184" customFormat="false" ht="25.5" hidden="false" customHeight="true" outlineLevel="0" collapsed="false">
      <c r="A184" s="24" t="s">
        <v>1882</v>
      </c>
      <c r="B184" s="26" t="s">
        <v>1883</v>
      </c>
      <c r="C184" s="26" t="s">
        <v>1304</v>
      </c>
      <c r="D184" s="26" t="s">
        <v>1866</v>
      </c>
      <c r="E184" s="27" t="s">
        <v>1720</v>
      </c>
      <c r="F184" s="27" t="s">
        <v>1721</v>
      </c>
      <c r="G184" s="27" t="n">
        <v>16</v>
      </c>
      <c r="H184" s="26" t="s">
        <v>1867</v>
      </c>
      <c r="I184" s="27" t="s">
        <v>1884</v>
      </c>
      <c r="J184" s="26" t="s">
        <v>1121</v>
      </c>
      <c r="K184" s="26" t="s">
        <v>151</v>
      </c>
      <c r="L184" s="24" t="s">
        <v>1119</v>
      </c>
      <c r="M184" s="26" t="str">
        <f aca="false">IFERROR(INDEX(W1_WYBOR!$B$6:$B$80,MATCH($L184,W1_WYBOR!$A$6:$A$80,0)),"")</f>
        <v>Funkcja własna na wspólnych komponentach (W2)</v>
      </c>
      <c r="N184" s="26" t="str">
        <f aca="false">IFERROR(INDEX(W1_WYBOR!$F$6:$F$80,MATCH($L184,W1_WYBOR!$A$6:$A$80,0)),"")</f>
        <v>WŁASNE na komponentach z W2</v>
      </c>
      <c r="O184" s="28" t="str">
        <f aca="false">IFERROR(INDEX(W1_WYBOR!$L$6:$L$80,MATCH($L184,W1_WYBOR!$A$6:$A$80,0)),"")</f>
        <v>Budujemy w aplikacji Eternal na komponentach W2</v>
      </c>
      <c r="P184" s="28" t="str">
        <f aca="false">IFERROR(INDEX(W1_WYBOR!$M$6:$M$80,MATCH($L184,W1_WYBOR!$A$6:$A$80,0)),"")</f>
        <v>Jak MVP</v>
      </c>
      <c r="Q184" s="27" t="str">
        <f aca="false">IFERROR(INDEX(W1_WYBOR!$P$6:$P$80,MATCH($L184,W1_WYBOR!$A$6:$A$80,0)),"")</f>
        <v>BEZ ZMIAN</v>
      </c>
      <c r="R184" s="26" t="s">
        <v>1885</v>
      </c>
      <c r="S184" s="26" t="str">
        <f aca="false">IFERROR(INDEX(W1_WYBOR!$V$6:$V$80,MATCH($L184,W1_WYBOR!$A$6:$A$80,0)),"")</f>
        <v>Zob. kolumna uwag w W3</v>
      </c>
    </row>
    <row r="185" customFormat="false" ht="37.5" hidden="false" customHeight="true" outlineLevel="0" collapsed="false">
      <c r="A185" s="24" t="s">
        <v>1886</v>
      </c>
      <c r="B185" s="26" t="s">
        <v>1887</v>
      </c>
      <c r="C185" s="26" t="s">
        <v>1304</v>
      </c>
      <c r="D185" s="26" t="s">
        <v>1866</v>
      </c>
      <c r="E185" s="27" t="s">
        <v>1720</v>
      </c>
      <c r="F185" s="27" t="s">
        <v>1721</v>
      </c>
      <c r="G185" s="27" t="n">
        <v>16</v>
      </c>
      <c r="H185" s="26" t="s">
        <v>1867</v>
      </c>
      <c r="I185" s="27" t="s">
        <v>1888</v>
      </c>
      <c r="J185" s="26" t="s">
        <v>358</v>
      </c>
      <c r="K185" s="26" t="s">
        <v>1470</v>
      </c>
      <c r="L185" s="24" t="s">
        <v>356</v>
      </c>
      <c r="M185" s="26" t="str">
        <f aca="false">IFERROR(INDEX(W1_WYBOR!$B$6:$B$80,MATCH($L185,W1_WYBOR!$A$6:$A$80,0)),"")</f>
        <v>Dane zdrowotne z telefonu (Apple Zdrowie, Health Connect)</v>
      </c>
      <c r="N185" s="26" t="str">
        <f aca="false">IFERROR(INDEX(W1_WYBOR!$F$6:$F$80,MATCH($L185,W1_WYBOR!$A$6:$A$80,0)),"")</f>
        <v>SYSTEM + biblioteki open source</v>
      </c>
      <c r="O185" s="28" t="str">
        <f aca="false">IFERROR(INDEX(W1_WYBOR!$L$6:$L$80,MATCH($L185,W1_WYBOR!$A$6:$A$80,0)),"")</f>
        <v>Aplikacja mobilna React Native/Expo z HealthKit i Health Connect (biblioteki MIT); synchronizacja w tle</v>
      </c>
      <c r="P185" s="28" t="str">
        <f aca="false">IFERROR(INDEX(W1_WYBOR!$M$6:$M$80,MATCH($L185,W1_WYBOR!$A$6:$A$80,0)),"")</f>
        <v>+ Samsung Health Data SDK</v>
      </c>
      <c r="Q185" s="27" t="str">
        <f aca="false">IFERROR(INDEX(W1_WYBOR!$P$6:$P$80,MATCH($L185,W1_WYBOR!$A$6:$A$80,0)),"")</f>
        <v>DOPRECYZOWANIE</v>
      </c>
      <c r="R185" s="26"/>
      <c r="S185" s="26" t="str">
        <f aca="false">IFERROR(INDEX(W1_WYBOR!$V$6:$V$80,MATCH($L185,W1_WYBOR!$A$6:$A$80,0)),"")</f>
        <v>Brak — obecnie PWA; jest Web Bluetooth (Chrome/Edge) i Withings</v>
      </c>
    </row>
    <row r="186" customFormat="false" ht="37.5" hidden="false" customHeight="true" outlineLevel="0" collapsed="false">
      <c r="A186" s="24" t="s">
        <v>1889</v>
      </c>
      <c r="B186" s="26" t="s">
        <v>1890</v>
      </c>
      <c r="C186" s="26" t="s">
        <v>1304</v>
      </c>
      <c r="D186" s="26" t="s">
        <v>1866</v>
      </c>
      <c r="E186" s="27" t="s">
        <v>1720</v>
      </c>
      <c r="F186" s="27" t="s">
        <v>1721</v>
      </c>
      <c r="G186" s="27" t="n">
        <v>16</v>
      </c>
      <c r="H186" s="26" t="s">
        <v>1867</v>
      </c>
      <c r="I186" s="27" t="s">
        <v>1309</v>
      </c>
      <c r="J186" s="26" t="s">
        <v>841</v>
      </c>
      <c r="K186" s="26" t="s">
        <v>1760</v>
      </c>
      <c r="L186" s="24" t="s">
        <v>839</v>
      </c>
      <c r="M186" s="26" t="str">
        <f aca="false">IFERROR(INDEX(W1_WYBOR!$B$6:$B$80,MATCH($L186,W1_WYBOR!$A$6:$A$80,0)),"")</f>
        <v>Bazy żywieniowe</v>
      </c>
      <c r="N186" s="26" t="str">
        <f aca="false">IFERROR(INDEX(W1_WYBOR!$F$6:$F$80,MATCH($L186,W1_WYBOR!$A$6:$A$80,0)),"")</f>
        <v>DANE OTWARTE u nas + licencja przy potrzebie</v>
      </c>
      <c r="O186" s="28" t="str">
        <f aca="false">IFERROR(INDEX(W1_WYBOR!$L$6:$L$80,MATCH($L186,W1_WYBOR!$A$6:$A$80,0)),"")</f>
        <v>Open Food Facts — zrzut bazy u nas (limity API wykluczają produkcję przez API) + polskie tabele składu (licencja do potwierdzenia)</v>
      </c>
      <c r="P186" s="28" t="str">
        <f aca="false">IFERROR(INDEX(W1_WYBOR!$M$6:$M$80,MATCH($L186,W1_WYBOR!$A$6:$A$80,0)),"")</f>
        <v>FatSecret Premier dla rynku PL, jeśli pokrycie OFF niewystarczające</v>
      </c>
      <c r="Q186" s="27" t="str">
        <f aca="false">IFERROR(INDEX(W1_WYBOR!$P$6:$P$80,MATCH($L186,W1_WYBOR!$A$6:$A$80,0)),"")</f>
        <v>DOPRECYZOWANIE</v>
      </c>
      <c r="R186" s="26"/>
      <c r="S186" s="26" t="str">
        <f aca="false">IFERROR(INDEX(W1_WYBOR!$V$6:$V$80,MATCH($L186,W1_WYBOR!$A$6:$A$80,0)),"")</f>
        <v>Brak</v>
      </c>
    </row>
    <row r="187" customFormat="false" ht="25.5" hidden="false" customHeight="true" outlineLevel="0" collapsed="false">
      <c r="A187" s="24" t="s">
        <v>1891</v>
      </c>
      <c r="B187" s="26" t="s">
        <v>1892</v>
      </c>
      <c r="C187" s="26" t="s">
        <v>1304</v>
      </c>
      <c r="D187" s="26" t="s">
        <v>1866</v>
      </c>
      <c r="E187" s="27" t="s">
        <v>1720</v>
      </c>
      <c r="F187" s="27" t="s">
        <v>1721</v>
      </c>
      <c r="G187" s="27" t="n">
        <v>16</v>
      </c>
      <c r="H187" s="26" t="s">
        <v>1867</v>
      </c>
      <c r="I187" s="27" t="s">
        <v>1309</v>
      </c>
      <c r="J187" s="26" t="s">
        <v>1121</v>
      </c>
      <c r="K187" s="26" t="s">
        <v>151</v>
      </c>
      <c r="L187" s="24" t="s">
        <v>1119</v>
      </c>
      <c r="M187" s="26" t="str">
        <f aca="false">IFERROR(INDEX(W1_WYBOR!$B$6:$B$80,MATCH($L187,W1_WYBOR!$A$6:$A$80,0)),"")</f>
        <v>Funkcja własna na wspólnych komponentach (W2)</v>
      </c>
      <c r="N187" s="26" t="str">
        <f aca="false">IFERROR(INDEX(W1_WYBOR!$F$6:$F$80,MATCH($L187,W1_WYBOR!$A$6:$A$80,0)),"")</f>
        <v>WŁASNE na komponentach z W2</v>
      </c>
      <c r="O187" s="28" t="str">
        <f aca="false">IFERROR(INDEX(W1_WYBOR!$L$6:$L$80,MATCH($L187,W1_WYBOR!$A$6:$A$80,0)),"")</f>
        <v>Budujemy w aplikacji Eternal na komponentach W2</v>
      </c>
      <c r="P187" s="28" t="str">
        <f aca="false">IFERROR(INDEX(W1_WYBOR!$M$6:$M$80,MATCH($L187,W1_WYBOR!$A$6:$A$80,0)),"")</f>
        <v>Jak MVP</v>
      </c>
      <c r="Q187" s="27" t="str">
        <f aca="false">IFERROR(INDEX(W1_WYBOR!$P$6:$P$80,MATCH($L187,W1_WYBOR!$A$6:$A$80,0)),"")</f>
        <v>BEZ ZMIAN</v>
      </c>
      <c r="R187" s="26"/>
      <c r="S187" s="26" t="str">
        <f aca="false">IFERROR(INDEX(W1_WYBOR!$V$6:$V$80,MATCH($L187,W1_WYBOR!$A$6:$A$80,0)),"")</f>
        <v>Zob. kolumna uwag w W3</v>
      </c>
    </row>
    <row r="188" customFormat="false" ht="25.5" hidden="false" customHeight="true" outlineLevel="0" collapsed="false">
      <c r="A188" s="24" t="s">
        <v>1893</v>
      </c>
      <c r="B188" s="26" t="s">
        <v>1894</v>
      </c>
      <c r="C188" s="26" t="s">
        <v>1304</v>
      </c>
      <c r="D188" s="26" t="s">
        <v>1866</v>
      </c>
      <c r="E188" s="27" t="s">
        <v>1720</v>
      </c>
      <c r="F188" s="27" t="s">
        <v>1721</v>
      </c>
      <c r="G188" s="27" t="n">
        <v>16</v>
      </c>
      <c r="H188" s="26" t="s">
        <v>1867</v>
      </c>
      <c r="I188" s="27" t="s">
        <v>1309</v>
      </c>
      <c r="J188" s="26" t="s">
        <v>1121</v>
      </c>
      <c r="K188" s="26" t="s">
        <v>151</v>
      </c>
      <c r="L188" s="24" t="s">
        <v>1119</v>
      </c>
      <c r="M188" s="26" t="str">
        <f aca="false">IFERROR(INDEX(W1_WYBOR!$B$6:$B$80,MATCH($L188,W1_WYBOR!$A$6:$A$80,0)),"")</f>
        <v>Funkcja własna na wspólnych komponentach (W2)</v>
      </c>
      <c r="N188" s="26" t="str">
        <f aca="false">IFERROR(INDEX(W1_WYBOR!$F$6:$F$80,MATCH($L188,W1_WYBOR!$A$6:$A$80,0)),"")</f>
        <v>WŁASNE na komponentach z W2</v>
      </c>
      <c r="O188" s="28" t="str">
        <f aca="false">IFERROR(INDEX(W1_WYBOR!$L$6:$L$80,MATCH($L188,W1_WYBOR!$A$6:$A$80,0)),"")</f>
        <v>Budujemy w aplikacji Eternal na komponentach W2</v>
      </c>
      <c r="P188" s="28" t="str">
        <f aca="false">IFERROR(INDEX(W1_WYBOR!$M$6:$M$80,MATCH($L188,W1_WYBOR!$A$6:$A$80,0)),"")</f>
        <v>Jak MVP</v>
      </c>
      <c r="Q188" s="27" t="str">
        <f aca="false">IFERROR(INDEX(W1_WYBOR!$P$6:$P$80,MATCH($L188,W1_WYBOR!$A$6:$A$80,0)),"")</f>
        <v>BEZ ZMIAN</v>
      </c>
      <c r="R188" s="26"/>
      <c r="S188" s="26" t="str">
        <f aca="false">IFERROR(INDEX(W1_WYBOR!$V$6:$V$80,MATCH($L188,W1_WYBOR!$A$6:$A$80,0)),"")</f>
        <v>Zob. kolumna uwag w W3</v>
      </c>
    </row>
    <row r="189" customFormat="false" ht="25.5" hidden="false" customHeight="true" outlineLevel="0" collapsed="false">
      <c r="A189" s="24" t="s">
        <v>1895</v>
      </c>
      <c r="B189" s="26" t="s">
        <v>1896</v>
      </c>
      <c r="C189" s="26" t="s">
        <v>1304</v>
      </c>
      <c r="D189" s="26" t="s">
        <v>1866</v>
      </c>
      <c r="E189" s="27" t="s">
        <v>1720</v>
      </c>
      <c r="F189" s="27" t="s">
        <v>1721</v>
      </c>
      <c r="G189" s="27" t="n">
        <v>16</v>
      </c>
      <c r="H189" s="26" t="s">
        <v>1867</v>
      </c>
      <c r="I189" s="27" t="s">
        <v>1309</v>
      </c>
      <c r="J189" s="26" t="s">
        <v>1121</v>
      </c>
      <c r="K189" s="26" t="s">
        <v>151</v>
      </c>
      <c r="L189" s="24" t="s">
        <v>1119</v>
      </c>
      <c r="M189" s="26" t="str">
        <f aca="false">IFERROR(INDEX(W1_WYBOR!$B$6:$B$80,MATCH($L189,W1_WYBOR!$A$6:$A$80,0)),"")</f>
        <v>Funkcja własna na wspólnych komponentach (W2)</v>
      </c>
      <c r="N189" s="26" t="str">
        <f aca="false">IFERROR(INDEX(W1_WYBOR!$F$6:$F$80,MATCH($L189,W1_WYBOR!$A$6:$A$80,0)),"")</f>
        <v>WŁASNE na komponentach z W2</v>
      </c>
      <c r="O189" s="28" t="str">
        <f aca="false">IFERROR(INDEX(W1_WYBOR!$L$6:$L$80,MATCH($L189,W1_WYBOR!$A$6:$A$80,0)),"")</f>
        <v>Budujemy w aplikacji Eternal na komponentach W2</v>
      </c>
      <c r="P189" s="28" t="str">
        <f aca="false">IFERROR(INDEX(W1_WYBOR!$M$6:$M$80,MATCH($L189,W1_WYBOR!$A$6:$A$80,0)),"")</f>
        <v>Jak MVP</v>
      </c>
      <c r="Q189" s="27" t="str">
        <f aca="false">IFERROR(INDEX(W1_WYBOR!$P$6:$P$80,MATCH($L189,W1_WYBOR!$A$6:$A$80,0)),"")</f>
        <v>BEZ ZMIAN</v>
      </c>
      <c r="R189" s="26"/>
      <c r="S189" s="26" t="str">
        <f aca="false">IFERROR(INDEX(W1_WYBOR!$V$6:$V$80,MATCH($L189,W1_WYBOR!$A$6:$A$80,0)),"")</f>
        <v>Zob. kolumna uwag w W3</v>
      </c>
    </row>
    <row r="190" customFormat="false" ht="25.5" hidden="false" customHeight="true" outlineLevel="0" collapsed="false">
      <c r="A190" s="24" t="s">
        <v>1897</v>
      </c>
      <c r="B190" s="26" t="s">
        <v>1898</v>
      </c>
      <c r="C190" s="26" t="s">
        <v>1304</v>
      </c>
      <c r="D190" s="26" t="s">
        <v>1866</v>
      </c>
      <c r="E190" s="27" t="s">
        <v>1720</v>
      </c>
      <c r="F190" s="27" t="s">
        <v>1721</v>
      </c>
      <c r="G190" s="27" t="n">
        <v>16</v>
      </c>
      <c r="H190" s="26" t="s">
        <v>1867</v>
      </c>
      <c r="I190" s="27" t="s">
        <v>1899</v>
      </c>
      <c r="J190" s="26" t="s">
        <v>1121</v>
      </c>
      <c r="K190" s="26" t="s">
        <v>151</v>
      </c>
      <c r="L190" s="24" t="s">
        <v>1119</v>
      </c>
      <c r="M190" s="26" t="str">
        <f aca="false">IFERROR(INDEX(W1_WYBOR!$B$6:$B$80,MATCH($L190,W1_WYBOR!$A$6:$A$80,0)),"")</f>
        <v>Funkcja własna na wspólnych komponentach (W2)</v>
      </c>
      <c r="N190" s="26" t="str">
        <f aca="false">IFERROR(INDEX(W1_WYBOR!$F$6:$F$80,MATCH($L190,W1_WYBOR!$A$6:$A$80,0)),"")</f>
        <v>WŁASNE na komponentach z W2</v>
      </c>
      <c r="O190" s="28" t="str">
        <f aca="false">IFERROR(INDEX(W1_WYBOR!$L$6:$L$80,MATCH($L190,W1_WYBOR!$A$6:$A$80,0)),"")</f>
        <v>Budujemy w aplikacji Eternal na komponentach W2</v>
      </c>
      <c r="P190" s="28" t="str">
        <f aca="false">IFERROR(INDEX(W1_WYBOR!$M$6:$M$80,MATCH($L190,W1_WYBOR!$A$6:$A$80,0)),"")</f>
        <v>Jak MVP</v>
      </c>
      <c r="Q190" s="27" t="str">
        <f aca="false">IFERROR(INDEX(W1_WYBOR!$P$6:$P$80,MATCH($L190,W1_WYBOR!$A$6:$A$80,0)),"")</f>
        <v>BEZ ZMIAN</v>
      </c>
      <c r="R190" s="26"/>
      <c r="S190" s="26" t="str">
        <f aca="false">IFERROR(INDEX(W1_WYBOR!$V$6:$V$80,MATCH($L190,W1_WYBOR!$A$6:$A$80,0)),"")</f>
        <v>Zob. kolumna uwag w W3</v>
      </c>
    </row>
    <row r="191" customFormat="false" ht="37.5" hidden="false" customHeight="true" outlineLevel="0" collapsed="false">
      <c r="A191" s="24" t="s">
        <v>1900</v>
      </c>
      <c r="B191" s="26" t="s">
        <v>1901</v>
      </c>
      <c r="C191" s="26" t="s">
        <v>1304</v>
      </c>
      <c r="D191" s="26" t="s">
        <v>1902</v>
      </c>
      <c r="E191" s="27" t="s">
        <v>1720</v>
      </c>
      <c r="F191" s="27" t="s">
        <v>1721</v>
      </c>
      <c r="G191" s="27" t="n">
        <v>28</v>
      </c>
      <c r="H191" s="26" t="s">
        <v>1441</v>
      </c>
      <c r="I191" s="27" t="s">
        <v>1309</v>
      </c>
      <c r="J191" s="26" t="s">
        <v>674</v>
      </c>
      <c r="K191" s="26" t="s">
        <v>1442</v>
      </c>
      <c r="L191" s="24" t="s">
        <v>672</v>
      </c>
      <c r="M191" s="26" t="str">
        <f aca="false">IFERROR(INDEX(W1_WYBOR!$B$6:$B$80,MATCH($L191,W1_WYBOR!$A$6:$A$80,0)),"")</f>
        <v>SOS i teleopieka 24/7</v>
      </c>
      <c r="N191" s="26" t="str">
        <f aca="false">IFERROR(INDEX(W1_WYBOR!$F$6:$F$80,MATCH($L191,W1_WYBOR!$A$6:$A$80,0)),"")</f>
        <v>WŁASNE (bezpłatne) + POŚREDNICTWO</v>
      </c>
      <c r="O191" s="28" t="str">
        <f aca="false">IFERROR(INDEX(W1_WYBOR!$L$6:$L$80,MATCH($L191,W1_WYBOR!$A$6:$A$80,0)),"")</f>
        <v>Przycisk 112 + powiadomienie bliskich (bez obietnicy reakcji); teleopieka 24/7 — partner wybrany w naborze (SiDLY albo Comarch)</v>
      </c>
      <c r="P191" s="28" t="str">
        <f aca="false">IFERROR(INDEX(W1_WYBOR!$M$6:$M$80,MATCH($L191,W1_WYBOR!$A$6:$A$80,0)),"")</f>
        <v>Teleopieka partnera w pakiecie Senior</v>
      </c>
      <c r="Q191" s="27" t="str">
        <f aca="false">IFERROR(INDEX(W1_WYBOR!$P$6:$P$80,MATCH($L191,W1_WYBOR!$A$6:$A$80,0)),"")</f>
        <v>DOPRECYZOWANIE</v>
      </c>
      <c r="R191" s="26" t="s">
        <v>1903</v>
      </c>
      <c r="S191" s="26" t="str">
        <f aca="false">IFERROR(INDEX(W1_WYBOR!$V$6:$V$80,MATCH($L191,W1_WYBOR!$A$6:$A$80,0)),"")</f>
        <v>Częściowo: informacja o numerach alarmowych w stopce</v>
      </c>
    </row>
    <row r="192" customFormat="false" ht="25.5" hidden="false" customHeight="true" outlineLevel="0" collapsed="false">
      <c r="A192" s="24" t="s">
        <v>1904</v>
      </c>
      <c r="B192" s="26" t="s">
        <v>1905</v>
      </c>
      <c r="C192" s="26" t="s">
        <v>1304</v>
      </c>
      <c r="D192" s="26" t="s">
        <v>1902</v>
      </c>
      <c r="E192" s="27" t="s">
        <v>1720</v>
      </c>
      <c r="F192" s="27" t="s">
        <v>1721</v>
      </c>
      <c r="G192" s="27" t="n">
        <v>32</v>
      </c>
      <c r="H192" s="26" t="s">
        <v>1906</v>
      </c>
      <c r="I192" s="27" t="s">
        <v>1309</v>
      </c>
      <c r="J192" s="26" t="s">
        <v>1121</v>
      </c>
      <c r="K192" s="26" t="s">
        <v>151</v>
      </c>
      <c r="L192" s="24" t="s">
        <v>1119</v>
      </c>
      <c r="M192" s="26" t="str">
        <f aca="false">IFERROR(INDEX(W1_WYBOR!$B$6:$B$80,MATCH($L192,W1_WYBOR!$A$6:$A$80,0)),"")</f>
        <v>Funkcja własna na wspólnych komponentach (W2)</v>
      </c>
      <c r="N192" s="26" t="str">
        <f aca="false">IFERROR(INDEX(W1_WYBOR!$F$6:$F$80,MATCH($L192,W1_WYBOR!$A$6:$A$80,0)),"")</f>
        <v>WŁASNE na komponentach z W2</v>
      </c>
      <c r="O192" s="28" t="str">
        <f aca="false">IFERROR(INDEX(W1_WYBOR!$L$6:$L$80,MATCH($L192,W1_WYBOR!$A$6:$A$80,0)),"")</f>
        <v>Budujemy w aplikacji Eternal na komponentach W2</v>
      </c>
      <c r="P192" s="28" t="str">
        <f aca="false">IFERROR(INDEX(W1_WYBOR!$M$6:$M$80,MATCH($L192,W1_WYBOR!$A$6:$A$80,0)),"")</f>
        <v>Jak MVP</v>
      </c>
      <c r="Q192" s="27" t="str">
        <f aca="false">IFERROR(INDEX(W1_WYBOR!$P$6:$P$80,MATCH($L192,W1_WYBOR!$A$6:$A$80,0)),"")</f>
        <v>BEZ ZMIAN</v>
      </c>
      <c r="R192" s="26"/>
      <c r="S192" s="26" t="str">
        <f aca="false">IFERROR(INDEX(W1_WYBOR!$V$6:$V$80,MATCH($L192,W1_WYBOR!$A$6:$A$80,0)),"")</f>
        <v>Zob. kolumna uwag w W3</v>
      </c>
    </row>
    <row r="193" customFormat="false" ht="25.5" hidden="false" customHeight="true" outlineLevel="0" collapsed="false">
      <c r="A193" s="24" t="s">
        <v>1907</v>
      </c>
      <c r="B193" s="26" t="s">
        <v>1908</v>
      </c>
      <c r="C193" s="26" t="s">
        <v>1304</v>
      </c>
      <c r="D193" s="26" t="s">
        <v>1902</v>
      </c>
      <c r="E193" s="27" t="s">
        <v>1720</v>
      </c>
      <c r="F193" s="27" t="s">
        <v>1721</v>
      </c>
      <c r="G193" s="27" t="n">
        <v>32</v>
      </c>
      <c r="H193" s="26" t="s">
        <v>1906</v>
      </c>
      <c r="I193" s="27" t="s">
        <v>1309</v>
      </c>
      <c r="J193" s="26" t="s">
        <v>1121</v>
      </c>
      <c r="K193" s="26" t="s">
        <v>151</v>
      </c>
      <c r="L193" s="24" t="s">
        <v>1119</v>
      </c>
      <c r="M193" s="26" t="str">
        <f aca="false">IFERROR(INDEX(W1_WYBOR!$B$6:$B$80,MATCH($L193,W1_WYBOR!$A$6:$A$80,0)),"")</f>
        <v>Funkcja własna na wspólnych komponentach (W2)</v>
      </c>
      <c r="N193" s="26" t="str">
        <f aca="false">IFERROR(INDEX(W1_WYBOR!$F$6:$F$80,MATCH($L193,W1_WYBOR!$A$6:$A$80,0)),"")</f>
        <v>WŁASNE na komponentach z W2</v>
      </c>
      <c r="O193" s="28" t="str">
        <f aca="false">IFERROR(INDEX(W1_WYBOR!$L$6:$L$80,MATCH($L193,W1_WYBOR!$A$6:$A$80,0)),"")</f>
        <v>Budujemy w aplikacji Eternal na komponentach W2</v>
      </c>
      <c r="P193" s="28" t="str">
        <f aca="false">IFERROR(INDEX(W1_WYBOR!$M$6:$M$80,MATCH($L193,W1_WYBOR!$A$6:$A$80,0)),"")</f>
        <v>Jak MVP</v>
      </c>
      <c r="Q193" s="27" t="str">
        <f aca="false">IFERROR(INDEX(W1_WYBOR!$P$6:$P$80,MATCH($L193,W1_WYBOR!$A$6:$A$80,0)),"")</f>
        <v>BEZ ZMIAN</v>
      </c>
      <c r="R193" s="26"/>
      <c r="S193" s="26" t="str">
        <f aca="false">IFERROR(INDEX(W1_WYBOR!$V$6:$V$80,MATCH($L193,W1_WYBOR!$A$6:$A$80,0)),"")</f>
        <v>Zob. kolumna uwag w W3</v>
      </c>
    </row>
    <row r="194" customFormat="false" ht="37.5" hidden="false" customHeight="true" outlineLevel="0" collapsed="false">
      <c r="A194" s="24" t="s">
        <v>1909</v>
      </c>
      <c r="B194" s="26" t="s">
        <v>1910</v>
      </c>
      <c r="C194" s="26" t="s">
        <v>1304</v>
      </c>
      <c r="D194" s="26" t="s">
        <v>1902</v>
      </c>
      <c r="E194" s="27" t="s">
        <v>1720</v>
      </c>
      <c r="F194" s="27" t="s">
        <v>1721</v>
      </c>
      <c r="G194" s="27" t="n">
        <v>32</v>
      </c>
      <c r="H194" s="26" t="s">
        <v>1906</v>
      </c>
      <c r="I194" s="27" t="s">
        <v>1309</v>
      </c>
      <c r="J194" s="26" t="s">
        <v>1911</v>
      </c>
      <c r="K194" s="26" t="s">
        <v>1691</v>
      </c>
      <c r="L194" s="24" t="s">
        <v>787</v>
      </c>
      <c r="M194" s="26" t="str">
        <f aca="false">IFERROR(INDEX(W1_WYBOR!$B$6:$B$80,MATCH($L194,W1_WYBOR!$A$6:$A$80,0)),"")</f>
        <v>Usługi prawne i regulacyjne (MDR, notariusz)</v>
      </c>
      <c r="N194" s="26" t="str">
        <f aca="false">IFERROR(INDEX(W1_WYBOR!$F$6:$F$80,MATCH($L194,W1_WYBOR!$A$6:$A$80,0)),"")</f>
        <v>POŚREDNICTWO PARTNERA (ludzie)</v>
      </c>
      <c r="O194" s="28" t="str">
        <f aca="false">IFERROR(INDEX(W1_WYBOR!$L$6:$L$80,MATCH($L194,W1_WYBOR!$A$6:$A$80,0)),"")</f>
        <v>Kwalifikacja MDR i deklaracja przeznaczenia przez kancelarię (jednorazowo); dokumenty przez /dokument</v>
      </c>
      <c r="P194" s="28" t="str">
        <f aca="false">IFERROR(INDEX(W1_WYBOR!$M$6:$M$80,MATCH($L194,W1_WYBOR!$A$6:$A$80,0)),"")</f>
        <v>Jak MVP + przegląd roczny</v>
      </c>
      <c r="Q194" s="27" t="str">
        <f aca="false">IFERROR(INDEX(W1_WYBOR!$P$6:$P$80,MATCH($L194,W1_WYBOR!$A$6:$A$80,0)),"")</f>
        <v>BEZ ZMIAN</v>
      </c>
      <c r="R194" s="26"/>
      <c r="S194" s="26" t="str">
        <f aca="false">IFERROR(INDEX(W1_WYBOR!$V$6:$V$80,MATCH($L194,W1_WYBOR!$A$6:$A$80,0)),"")</f>
        <v>COMPLIANCE.md opisuje granicę MDR</v>
      </c>
    </row>
    <row r="195" customFormat="false" ht="25.5" hidden="false" customHeight="true" outlineLevel="0" collapsed="false">
      <c r="A195" s="24" t="s">
        <v>1912</v>
      </c>
      <c r="B195" s="26" t="s">
        <v>1913</v>
      </c>
      <c r="C195" s="26" t="s">
        <v>1304</v>
      </c>
      <c r="D195" s="26" t="s">
        <v>1902</v>
      </c>
      <c r="E195" s="27" t="s">
        <v>1720</v>
      </c>
      <c r="F195" s="27" t="s">
        <v>1721</v>
      </c>
      <c r="G195" s="27" t="n">
        <v>31</v>
      </c>
      <c r="H195" s="26" t="s">
        <v>1862</v>
      </c>
      <c r="I195" s="27" t="s">
        <v>1309</v>
      </c>
      <c r="J195" s="26" t="s">
        <v>975</v>
      </c>
      <c r="K195" s="26" t="s">
        <v>1914</v>
      </c>
      <c r="L195" s="24" t="s">
        <v>973</v>
      </c>
      <c r="M195" s="26" t="str">
        <f aca="false">IFERROR(INDEX(W1_WYBOR!$B$6:$B$80,MATCH($L195,W1_WYBOR!$A$6:$A$80,0)),"")</f>
        <v>Oprogramowanie dla opiekunów</v>
      </c>
      <c r="N195" s="26" t="str">
        <f aca="false">IFERROR(INDEX(W1_WYBOR!$F$6:$F$80,MATCH($L195,W1_WYBOR!$A$6:$A$80,0)),"")</f>
        <v>WŁASNE</v>
      </c>
      <c r="O195" s="28" t="str">
        <f aca="false">IFERROR(INDEX(W1_WYBOR!$L$6:$L$80,MATCH($L195,W1_WYBOR!$A$6:$A$80,0)),"")</f>
        <v>Własny moduł zadań opiekuna połączony z rodziną i lekarzem</v>
      </c>
      <c r="P195" s="28" t="str">
        <f aca="false">IFERROR(INDEX(W1_WYBOR!$M$6:$M$80,MATCH($L195,W1_WYBOR!$A$6:$A$80,0)),"")</f>
        <v>Jak MVP</v>
      </c>
      <c r="Q195" s="27" t="str">
        <f aca="false">IFERROR(INDEX(W1_WYBOR!$P$6:$P$80,MATCH($L195,W1_WYBOR!$A$6:$A$80,0)),"")</f>
        <v>BEZ ZMIAN</v>
      </c>
      <c r="R195" s="26"/>
      <c r="S195" s="26" t="str">
        <f aca="false">IFERROR(INDEX(W1_WYBOR!$V$6:$V$80,MATCH($L195,W1_WYBOR!$A$6:$A$80,0)),"")</f>
        <v>Brak</v>
      </c>
    </row>
    <row r="196" customFormat="false" ht="25.5" hidden="false" customHeight="true" outlineLevel="0" collapsed="false">
      <c r="A196" s="24" t="s">
        <v>1915</v>
      </c>
      <c r="B196" s="26" t="s">
        <v>1916</v>
      </c>
      <c r="C196" s="26" t="s">
        <v>1304</v>
      </c>
      <c r="D196" s="26" t="s">
        <v>1902</v>
      </c>
      <c r="E196" s="27" t="s">
        <v>1720</v>
      </c>
      <c r="F196" s="27" t="s">
        <v>1721</v>
      </c>
      <c r="G196" s="27" t="n">
        <v>31</v>
      </c>
      <c r="H196" s="26" t="s">
        <v>1862</v>
      </c>
      <c r="I196" s="27" t="s">
        <v>1309</v>
      </c>
      <c r="J196" s="26" t="s">
        <v>1121</v>
      </c>
      <c r="K196" s="26" t="s">
        <v>151</v>
      </c>
      <c r="L196" s="24" t="s">
        <v>1119</v>
      </c>
      <c r="M196" s="26" t="str">
        <f aca="false">IFERROR(INDEX(W1_WYBOR!$B$6:$B$80,MATCH($L196,W1_WYBOR!$A$6:$A$80,0)),"")</f>
        <v>Funkcja własna na wspólnych komponentach (W2)</v>
      </c>
      <c r="N196" s="26" t="str">
        <f aca="false">IFERROR(INDEX(W1_WYBOR!$F$6:$F$80,MATCH($L196,W1_WYBOR!$A$6:$A$80,0)),"")</f>
        <v>WŁASNE na komponentach z W2</v>
      </c>
      <c r="O196" s="28" t="str">
        <f aca="false">IFERROR(INDEX(W1_WYBOR!$L$6:$L$80,MATCH($L196,W1_WYBOR!$A$6:$A$80,0)),"")</f>
        <v>Budujemy w aplikacji Eternal na komponentach W2</v>
      </c>
      <c r="P196" s="28" t="str">
        <f aca="false">IFERROR(INDEX(W1_WYBOR!$M$6:$M$80,MATCH($L196,W1_WYBOR!$A$6:$A$80,0)),"")</f>
        <v>Jak MVP</v>
      </c>
      <c r="Q196" s="27" t="str">
        <f aca="false">IFERROR(INDEX(W1_WYBOR!$P$6:$P$80,MATCH($L196,W1_WYBOR!$A$6:$A$80,0)),"")</f>
        <v>BEZ ZMIAN</v>
      </c>
      <c r="R196" s="26"/>
      <c r="S196" s="26" t="str">
        <f aca="false">IFERROR(INDEX(W1_WYBOR!$V$6:$V$80,MATCH($L196,W1_WYBOR!$A$6:$A$80,0)),"")</f>
        <v>Zob. kolumna uwag w W3</v>
      </c>
    </row>
    <row r="197" customFormat="false" ht="37.5" hidden="false" customHeight="true" outlineLevel="0" collapsed="false">
      <c r="A197" s="24" t="s">
        <v>1917</v>
      </c>
      <c r="B197" s="26" t="s">
        <v>1918</v>
      </c>
      <c r="C197" s="26" t="s">
        <v>1304</v>
      </c>
      <c r="D197" s="26" t="s">
        <v>1919</v>
      </c>
      <c r="E197" s="27" t="s">
        <v>1720</v>
      </c>
      <c r="F197" s="27" t="s">
        <v>1721</v>
      </c>
      <c r="G197" s="27" t="n">
        <v>17</v>
      </c>
      <c r="H197" s="26" t="s">
        <v>1920</v>
      </c>
      <c r="I197" s="27" t="s">
        <v>1309</v>
      </c>
      <c r="J197" s="26" t="s">
        <v>437</v>
      </c>
      <c r="K197" s="26" t="s">
        <v>1817</v>
      </c>
      <c r="L197" s="24" t="s">
        <v>435</v>
      </c>
      <c r="M197" s="26" t="str">
        <f aca="false">IFERROR(INDEX(W1_WYBOR!$B$6:$B$80,MATCH($L197,W1_WYBOR!$A$6:$A$80,0)),"")</f>
        <v>Wskaźniki z danych urządzeń (sen, gotowość, „wiek”)</v>
      </c>
      <c r="N197" s="26" t="str">
        <f aca="false">IFERROR(INDEX(W1_WYBOR!$F$6:$F$80,MATCH($L197,W1_WYBOR!$A$6:$A$80,0)),"")</f>
        <v>WŁASNE jawne wskaźniki → usługa po teście</v>
      </c>
      <c r="O197" s="28" t="str">
        <f aca="false">IFERROR(INDEX(W1_WYBOR!$L$6:$L$80,MATCH($L197,W1_WYBOR!$A$6:$A$80,0)),"")</f>
        <v>Wskaźniki producenta + nasze jawne wskaźniki opisowe (bez oceny zdrowia)</v>
      </c>
      <c r="P197" s="28" t="str">
        <f aca="false">IFERROR(INDEX(W1_WYBOR!$M$6:$M$80,MATCH($L197,W1_WYBOR!$A$6:$A$80,0)),"")</f>
        <v>Sahha tylko po potwierdzeniu przetwarzania w UE i umowie powierzenia; inaczej własne</v>
      </c>
      <c r="Q197" s="27" t="str">
        <f aca="false">IFERROR(INDEX(W1_WYBOR!$P$6:$P$80,MATCH($L197,W1_WYBOR!$A$6:$A$80,0)),"")</f>
        <v>ZMIANA</v>
      </c>
      <c r="R197" s="26" t="s">
        <v>1921</v>
      </c>
      <c r="S197" s="26" t="str">
        <f aca="false">IFERROR(INDEX(W1_WYBOR!$V$6:$V$80,MATCH($L197,W1_WYBOR!$A$6:$A$80,0)),"")</f>
        <v>Brak</v>
      </c>
    </row>
    <row r="198" customFormat="false" ht="25.5" hidden="false" customHeight="true" outlineLevel="0" collapsed="false">
      <c r="A198" s="24" t="s">
        <v>1922</v>
      </c>
      <c r="B198" s="26" t="s">
        <v>1923</v>
      </c>
      <c r="C198" s="26" t="s">
        <v>1304</v>
      </c>
      <c r="D198" s="26" t="s">
        <v>1919</v>
      </c>
      <c r="E198" s="27" t="s">
        <v>1720</v>
      </c>
      <c r="F198" s="27" t="s">
        <v>1721</v>
      </c>
      <c r="G198" s="27" t="n">
        <v>17</v>
      </c>
      <c r="H198" s="26" t="s">
        <v>1920</v>
      </c>
      <c r="I198" s="27" t="s">
        <v>1309</v>
      </c>
      <c r="J198" s="26" t="s">
        <v>1121</v>
      </c>
      <c r="K198" s="26" t="s">
        <v>151</v>
      </c>
      <c r="L198" s="24" t="s">
        <v>1119</v>
      </c>
      <c r="M198" s="26" t="str">
        <f aca="false">IFERROR(INDEX(W1_WYBOR!$B$6:$B$80,MATCH($L198,W1_WYBOR!$A$6:$A$80,0)),"")</f>
        <v>Funkcja własna na wspólnych komponentach (W2)</v>
      </c>
      <c r="N198" s="26" t="str">
        <f aca="false">IFERROR(INDEX(W1_WYBOR!$F$6:$F$80,MATCH($L198,W1_WYBOR!$A$6:$A$80,0)),"")</f>
        <v>WŁASNE na komponentach z W2</v>
      </c>
      <c r="O198" s="28" t="str">
        <f aca="false">IFERROR(INDEX(W1_WYBOR!$L$6:$L$80,MATCH($L198,W1_WYBOR!$A$6:$A$80,0)),"")</f>
        <v>Budujemy w aplikacji Eternal na komponentach W2</v>
      </c>
      <c r="P198" s="28" t="str">
        <f aca="false">IFERROR(INDEX(W1_WYBOR!$M$6:$M$80,MATCH($L198,W1_WYBOR!$A$6:$A$80,0)),"")</f>
        <v>Jak MVP</v>
      </c>
      <c r="Q198" s="27" t="str">
        <f aca="false">IFERROR(INDEX(W1_WYBOR!$P$6:$P$80,MATCH($L198,W1_WYBOR!$A$6:$A$80,0)),"")</f>
        <v>BEZ ZMIAN</v>
      </c>
      <c r="R198" s="26"/>
      <c r="S198" s="26" t="str">
        <f aca="false">IFERROR(INDEX(W1_WYBOR!$V$6:$V$80,MATCH($L198,W1_WYBOR!$A$6:$A$80,0)),"")</f>
        <v>Zob. kolumna uwag w W3</v>
      </c>
    </row>
    <row r="199" customFormat="false" ht="37.5" hidden="false" customHeight="true" outlineLevel="0" collapsed="false">
      <c r="A199" s="24" t="s">
        <v>1924</v>
      </c>
      <c r="B199" s="26" t="s">
        <v>1925</v>
      </c>
      <c r="C199" s="26" t="s">
        <v>1304</v>
      </c>
      <c r="D199" s="26" t="s">
        <v>1919</v>
      </c>
      <c r="E199" s="27" t="s">
        <v>1720</v>
      </c>
      <c r="F199" s="27" t="s">
        <v>1721</v>
      </c>
      <c r="G199" s="27" t="n">
        <v>17</v>
      </c>
      <c r="H199" s="26" t="s">
        <v>1920</v>
      </c>
      <c r="I199" s="27" t="s">
        <v>1926</v>
      </c>
      <c r="J199" s="26" t="s">
        <v>437</v>
      </c>
      <c r="K199" s="26" t="s">
        <v>1817</v>
      </c>
      <c r="L199" s="24" t="s">
        <v>435</v>
      </c>
      <c r="M199" s="26" t="str">
        <f aca="false">IFERROR(INDEX(W1_WYBOR!$B$6:$B$80,MATCH($L199,W1_WYBOR!$A$6:$A$80,0)),"")</f>
        <v>Wskaźniki z danych urządzeń (sen, gotowość, „wiek”)</v>
      </c>
      <c r="N199" s="26" t="str">
        <f aca="false">IFERROR(INDEX(W1_WYBOR!$F$6:$F$80,MATCH($L199,W1_WYBOR!$A$6:$A$80,0)),"")</f>
        <v>WŁASNE jawne wskaźniki → usługa po teście</v>
      </c>
      <c r="O199" s="28" t="str">
        <f aca="false">IFERROR(INDEX(W1_WYBOR!$L$6:$L$80,MATCH($L199,W1_WYBOR!$A$6:$A$80,0)),"")</f>
        <v>Wskaźniki producenta + nasze jawne wskaźniki opisowe (bez oceny zdrowia)</v>
      </c>
      <c r="P199" s="28" t="str">
        <f aca="false">IFERROR(INDEX(W1_WYBOR!$M$6:$M$80,MATCH($L199,W1_WYBOR!$A$6:$A$80,0)),"")</f>
        <v>Sahha tylko po potwierdzeniu przetwarzania w UE i umowie powierzenia; inaczej własne</v>
      </c>
      <c r="Q199" s="27" t="str">
        <f aca="false">IFERROR(INDEX(W1_WYBOR!$P$6:$P$80,MATCH($L199,W1_WYBOR!$A$6:$A$80,0)),"")</f>
        <v>ZMIANA</v>
      </c>
      <c r="R199" s="26" t="s">
        <v>1927</v>
      </c>
      <c r="S199" s="26" t="str">
        <f aca="false">IFERROR(INDEX(W1_WYBOR!$V$6:$V$80,MATCH($L199,W1_WYBOR!$A$6:$A$80,0)),"")</f>
        <v>Brak</v>
      </c>
    </row>
    <row r="200" customFormat="false" ht="25.5" hidden="false" customHeight="true" outlineLevel="0" collapsed="false">
      <c r="A200" s="24" t="s">
        <v>1928</v>
      </c>
      <c r="B200" s="26" t="s">
        <v>1929</v>
      </c>
      <c r="C200" s="26" t="s">
        <v>1304</v>
      </c>
      <c r="D200" s="26" t="s">
        <v>1919</v>
      </c>
      <c r="E200" s="27" t="s">
        <v>1720</v>
      </c>
      <c r="F200" s="27" t="s">
        <v>1721</v>
      </c>
      <c r="G200" s="27" t="n">
        <v>17</v>
      </c>
      <c r="H200" s="26" t="s">
        <v>1920</v>
      </c>
      <c r="I200" s="27" t="s">
        <v>1309</v>
      </c>
      <c r="J200" s="26" t="s">
        <v>1121</v>
      </c>
      <c r="K200" s="26" t="s">
        <v>151</v>
      </c>
      <c r="L200" s="24" t="s">
        <v>1119</v>
      </c>
      <c r="M200" s="26" t="str">
        <f aca="false">IFERROR(INDEX(W1_WYBOR!$B$6:$B$80,MATCH($L200,W1_WYBOR!$A$6:$A$80,0)),"")</f>
        <v>Funkcja własna na wspólnych komponentach (W2)</v>
      </c>
      <c r="N200" s="26" t="str">
        <f aca="false">IFERROR(INDEX(W1_WYBOR!$F$6:$F$80,MATCH($L200,W1_WYBOR!$A$6:$A$80,0)),"")</f>
        <v>WŁASNE na komponentach z W2</v>
      </c>
      <c r="O200" s="28" t="str">
        <f aca="false">IFERROR(INDEX(W1_WYBOR!$L$6:$L$80,MATCH($L200,W1_WYBOR!$A$6:$A$80,0)),"")</f>
        <v>Budujemy w aplikacji Eternal na komponentach W2</v>
      </c>
      <c r="P200" s="28" t="str">
        <f aca="false">IFERROR(INDEX(W1_WYBOR!$M$6:$M$80,MATCH($L200,W1_WYBOR!$A$6:$A$80,0)),"")</f>
        <v>Jak MVP</v>
      </c>
      <c r="Q200" s="27" t="str">
        <f aca="false">IFERROR(INDEX(W1_WYBOR!$P$6:$P$80,MATCH($L200,W1_WYBOR!$A$6:$A$80,0)),"")</f>
        <v>BEZ ZMIAN</v>
      </c>
      <c r="R200" s="26"/>
      <c r="S200" s="26" t="str">
        <f aca="false">IFERROR(INDEX(W1_WYBOR!$V$6:$V$80,MATCH($L200,W1_WYBOR!$A$6:$A$80,0)),"")</f>
        <v>Zob. kolumna uwag w W3</v>
      </c>
    </row>
    <row r="201" customFormat="false" ht="25.5" hidden="false" customHeight="true" outlineLevel="0" collapsed="false">
      <c r="A201" s="24" t="s">
        <v>1930</v>
      </c>
      <c r="B201" s="26" t="s">
        <v>1931</v>
      </c>
      <c r="C201" s="26" t="s">
        <v>1304</v>
      </c>
      <c r="D201" s="26" t="s">
        <v>1919</v>
      </c>
      <c r="E201" s="27" t="s">
        <v>1720</v>
      </c>
      <c r="F201" s="27" t="s">
        <v>1721</v>
      </c>
      <c r="G201" s="27" t="n">
        <v>17</v>
      </c>
      <c r="H201" s="26" t="s">
        <v>1920</v>
      </c>
      <c r="I201" s="27" t="s">
        <v>1309</v>
      </c>
      <c r="J201" s="26" t="s">
        <v>644</v>
      </c>
      <c r="K201" s="26" t="s">
        <v>1932</v>
      </c>
      <c r="L201" s="24" t="s">
        <v>642</v>
      </c>
      <c r="M201" s="26" t="str">
        <f aca="false">IFERROR(INDEX(W1_WYBOR!$B$6:$B$80,MATCH($L201,W1_WYBOR!$A$6:$A$80,0)),"")</f>
        <v>Sieci laboratoriów (zamawianie, wyniki)</v>
      </c>
      <c r="N201" s="26" t="str">
        <f aca="false">IFERROR(INDEX(W1_WYBOR!$F$6:$F$80,MATCH($L201,W1_WYBOR!$A$6:$A$80,0)),"")</f>
        <v>POŚREDNICTWO PARTNERA</v>
      </c>
      <c r="O201" s="28" t="str">
        <f aca="false">IFERROR(INDEX(W1_WYBOR!$L$6:$L$80,MATCH($L201,W1_WYBOR!$A$6:$A$80,0)),"")</f>
        <v>Wgrywanie PDF + umowa z Diagnostyką na przekazywanie wyników za zgodą pacjenta</v>
      </c>
      <c r="P201" s="28" t="str">
        <f aca="false">IFERROR(INDEX(W1_WYBOR!$M$6:$M$80,MATCH($L201,W1_WYBOR!$A$6:$A$80,0)),"")</f>
        <v>+ ALAB/Synevo; zamawianie pakietów badań (odnośnik bez marży od leków)</v>
      </c>
      <c r="Q201" s="27" t="str">
        <f aca="false">IFERROR(INDEX(W1_WYBOR!$P$6:$P$80,MATCH($L201,W1_WYBOR!$A$6:$A$80,0)),"")</f>
        <v>BEZ ZMIAN</v>
      </c>
      <c r="R201" s="26"/>
      <c r="S201" s="26" t="str">
        <f aca="false">IFERROR(INDEX(W1_WYBOR!$V$6:$V$80,MATCH($L201,W1_WYBOR!$A$6:$A$80,0)),"")</f>
        <v>Zaimplementowane: wyniki udostępniane przez placówkę</v>
      </c>
    </row>
    <row r="202" customFormat="false" ht="37.5" hidden="false" customHeight="true" outlineLevel="0" collapsed="false">
      <c r="A202" s="24" t="s">
        <v>1933</v>
      </c>
      <c r="B202" s="26" t="s">
        <v>1934</v>
      </c>
      <c r="C202" s="26" t="s">
        <v>1304</v>
      </c>
      <c r="D202" s="26" t="s">
        <v>1919</v>
      </c>
      <c r="E202" s="27" t="s">
        <v>1720</v>
      </c>
      <c r="F202" s="27" t="s">
        <v>1721</v>
      </c>
      <c r="G202" s="27" t="n">
        <v>17</v>
      </c>
      <c r="H202" s="26" t="s">
        <v>1920</v>
      </c>
      <c r="I202" s="27" t="s">
        <v>1309</v>
      </c>
      <c r="J202" s="26" t="s">
        <v>437</v>
      </c>
      <c r="K202" s="26" t="s">
        <v>1817</v>
      </c>
      <c r="L202" s="24" t="s">
        <v>435</v>
      </c>
      <c r="M202" s="26" t="str">
        <f aca="false">IFERROR(INDEX(W1_WYBOR!$B$6:$B$80,MATCH($L202,W1_WYBOR!$A$6:$A$80,0)),"")</f>
        <v>Wskaźniki z danych urządzeń (sen, gotowość, „wiek”)</v>
      </c>
      <c r="N202" s="26" t="str">
        <f aca="false">IFERROR(INDEX(W1_WYBOR!$F$6:$F$80,MATCH($L202,W1_WYBOR!$A$6:$A$80,0)),"")</f>
        <v>WŁASNE jawne wskaźniki → usługa po teście</v>
      </c>
      <c r="O202" s="28" t="str">
        <f aca="false">IFERROR(INDEX(W1_WYBOR!$L$6:$L$80,MATCH($L202,W1_WYBOR!$A$6:$A$80,0)),"")</f>
        <v>Wskaźniki producenta + nasze jawne wskaźniki opisowe (bez oceny zdrowia)</v>
      </c>
      <c r="P202" s="28" t="str">
        <f aca="false">IFERROR(INDEX(W1_WYBOR!$M$6:$M$80,MATCH($L202,W1_WYBOR!$A$6:$A$80,0)),"")</f>
        <v>Sahha tylko po potwierdzeniu przetwarzania w UE i umowie powierzenia; inaczej własne</v>
      </c>
      <c r="Q202" s="27" t="str">
        <f aca="false">IFERROR(INDEX(W1_WYBOR!$P$6:$P$80,MATCH($L202,W1_WYBOR!$A$6:$A$80,0)),"")</f>
        <v>ZMIANA</v>
      </c>
      <c r="R202" s="26" t="s">
        <v>1935</v>
      </c>
      <c r="S202" s="26" t="str">
        <f aca="false">IFERROR(INDEX(W1_WYBOR!$V$6:$V$80,MATCH($L202,W1_WYBOR!$A$6:$A$80,0)),"")</f>
        <v>Brak</v>
      </c>
    </row>
    <row r="203" customFormat="false" ht="37.5" hidden="false" customHeight="true" outlineLevel="0" collapsed="false">
      <c r="A203" s="24" t="s">
        <v>1936</v>
      </c>
      <c r="B203" s="26" t="s">
        <v>1937</v>
      </c>
      <c r="C203" s="26" t="s">
        <v>1304</v>
      </c>
      <c r="D203" s="26" t="s">
        <v>1938</v>
      </c>
      <c r="E203" s="27" t="s">
        <v>1720</v>
      </c>
      <c r="F203" s="27" t="s">
        <v>1721</v>
      </c>
      <c r="G203" s="27" t="n">
        <v>27</v>
      </c>
      <c r="H203" s="26" t="s">
        <v>1939</v>
      </c>
      <c r="I203" s="27" t="s">
        <v>1940</v>
      </c>
      <c r="J203" s="26" t="s">
        <v>630</v>
      </c>
      <c r="K203" s="26" t="s">
        <v>635</v>
      </c>
      <c r="L203" s="24" t="s">
        <v>628</v>
      </c>
      <c r="M203" s="26" t="str">
        <f aca="false">IFERROR(INDEX(W1_WYBOR!$B$6:$B$80,MATCH($L203,W1_WYBOR!$A$6:$A$80,0)),"")</f>
        <v>Operator telemedyczny (lekarze partnera)</v>
      </c>
      <c r="N203" s="26" t="str">
        <f aca="false">IFERROR(INDEX(W1_WYBOR!$F$6:$F$80,MATCH($L203,W1_WYBOR!$A$6:$A$80,0)),"")</f>
        <v>POŚREDNICTWO PARTNERA</v>
      </c>
      <c r="O203" s="28" t="str">
        <f aca="false">IFERROR(INDEX(W1_WYBOR!$L$6:$L$80,MATCH($L203,W1_WYBOR!$A$6:$A$80,0)),"")</f>
        <v>Telemedi pod naszą marką (MLP/Forge 2028); recepta wyłącznie po konsultacji lekarza</v>
      </c>
      <c r="P203" s="28" t="str">
        <f aca="false">IFERROR(INDEX(W1_WYBOR!$M$6:$M$80,MATCH($L203,W1_WYBOR!$A$6:$A$80,0)),"")</f>
        <v>Telemedi</v>
      </c>
      <c r="Q203" s="27" t="str">
        <f aca="false">IFERROR(INDEX(W1_WYBOR!$P$6:$P$80,MATCH($L203,W1_WYBOR!$A$6:$A$80,0)),"")</f>
        <v>BEZ ZMIAN</v>
      </c>
      <c r="R203" s="26" t="s">
        <v>1941</v>
      </c>
      <c r="S203" s="26" t="str">
        <f aca="false">IFERROR(INDEX(W1_WYBOR!$V$6:$V$80,MATCH($L203,W1_WYBOR!$A$6:$A$80,0)),"")</f>
        <v>Brak</v>
      </c>
    </row>
    <row r="204" customFormat="false" ht="25.5" hidden="false" customHeight="true" outlineLevel="0" collapsed="false">
      <c r="A204" s="24" t="s">
        <v>1942</v>
      </c>
      <c r="B204" s="26" t="s">
        <v>1943</v>
      </c>
      <c r="C204" s="26" t="s">
        <v>1304</v>
      </c>
      <c r="D204" s="26" t="s">
        <v>1938</v>
      </c>
      <c r="E204" s="27" t="s">
        <v>1720</v>
      </c>
      <c r="F204" s="27" t="s">
        <v>1721</v>
      </c>
      <c r="G204" s="27" t="n">
        <v>25</v>
      </c>
      <c r="H204" s="26" t="s">
        <v>1944</v>
      </c>
      <c r="I204" s="27" t="s">
        <v>1945</v>
      </c>
      <c r="J204" s="26" t="s">
        <v>644</v>
      </c>
      <c r="K204" s="26" t="s">
        <v>1932</v>
      </c>
      <c r="L204" s="24" t="s">
        <v>642</v>
      </c>
      <c r="M204" s="26" t="str">
        <f aca="false">IFERROR(INDEX(W1_WYBOR!$B$6:$B$80,MATCH($L204,W1_WYBOR!$A$6:$A$80,0)),"")</f>
        <v>Sieci laboratoriów (zamawianie, wyniki)</v>
      </c>
      <c r="N204" s="26" t="str">
        <f aca="false">IFERROR(INDEX(W1_WYBOR!$F$6:$F$80,MATCH($L204,W1_WYBOR!$A$6:$A$80,0)),"")</f>
        <v>POŚREDNICTWO PARTNERA</v>
      </c>
      <c r="O204" s="28" t="str">
        <f aca="false">IFERROR(INDEX(W1_WYBOR!$L$6:$L$80,MATCH($L204,W1_WYBOR!$A$6:$A$80,0)),"")</f>
        <v>Wgrywanie PDF + umowa z Diagnostyką na przekazywanie wyników za zgodą pacjenta</v>
      </c>
      <c r="P204" s="28" t="str">
        <f aca="false">IFERROR(INDEX(W1_WYBOR!$M$6:$M$80,MATCH($L204,W1_WYBOR!$A$6:$A$80,0)),"")</f>
        <v>+ ALAB/Synevo; zamawianie pakietów badań (odnośnik bez marży od leków)</v>
      </c>
      <c r="Q204" s="27" t="str">
        <f aca="false">IFERROR(INDEX(W1_WYBOR!$P$6:$P$80,MATCH($L204,W1_WYBOR!$A$6:$A$80,0)),"")</f>
        <v>BEZ ZMIAN</v>
      </c>
      <c r="R204" s="26"/>
      <c r="S204" s="26" t="str">
        <f aca="false">IFERROR(INDEX(W1_WYBOR!$V$6:$V$80,MATCH($L204,W1_WYBOR!$A$6:$A$80,0)),"")</f>
        <v>Zaimplementowane: wyniki udostępniane przez placówkę</v>
      </c>
    </row>
    <row r="205" customFormat="false" ht="48.75" hidden="false" customHeight="true" outlineLevel="0" collapsed="false">
      <c r="A205" s="24" t="s">
        <v>1946</v>
      </c>
      <c r="B205" s="26" t="s">
        <v>1947</v>
      </c>
      <c r="C205" s="26" t="s">
        <v>1304</v>
      </c>
      <c r="D205" s="26" t="s">
        <v>1938</v>
      </c>
      <c r="E205" s="27" t="s">
        <v>1720</v>
      </c>
      <c r="F205" s="27" t="s">
        <v>1721</v>
      </c>
      <c r="G205" s="27" t="n">
        <v>23</v>
      </c>
      <c r="H205" s="26" t="s">
        <v>1559</v>
      </c>
      <c r="I205" s="27" t="s">
        <v>1309</v>
      </c>
      <c r="J205" s="26" t="s">
        <v>591</v>
      </c>
      <c r="K205" s="26" t="s">
        <v>1560</v>
      </c>
      <c r="L205" s="24" t="s">
        <v>589</v>
      </c>
      <c r="M205" s="26" t="str">
        <f aca="false">IFERROR(INDEX(W1_WYBOR!$B$6:$B$80,MATCH($L205,W1_WYBOR!$A$6:$A$80,0)),"")</f>
        <v>Rezerwacje i kalendarze</v>
      </c>
      <c r="N205" s="26" t="str">
        <f aca="false">IFERROR(INDEX(W1_WYBOR!$F$6:$F$80,MATCH($L205,W1_WYBOR!$A$6:$A$80,0)),"")</f>
        <v>WŁASNY RDZEŃ + kanały zewnętrzne</v>
      </c>
      <c r="O205" s="28" t="str">
        <f aca="false">IFERROR(INDEX(W1_WYBOR!$L$6:$L$80,MATCH($L205,W1_WYBOR!$A$6:$A$80,0)),"")</f>
        <v>Nasz silnik terminów (rdzeń) + kanał ZnanyLekarz przez Docplanner Integrations API dla placówek z profilem premium</v>
      </c>
      <c r="P205" s="28" t="str">
        <f aca="false">IFERROR(INDEX(W1_WYBOR!$M$6:$M$80,MATCH($L205,W1_WYBOR!$A$6:$A$80,0)),"")</f>
        <v>+ synchronizacja z systemami gabinetowymi (W-28)</v>
      </c>
      <c r="Q205" s="27" t="str">
        <f aca="false">IFERROR(INDEX(W1_WYBOR!$P$6:$P$80,MATCH($L205,W1_WYBOR!$A$6:$A$80,0)),"")</f>
        <v>ZMIANA</v>
      </c>
      <c r="R205" s="26" t="s">
        <v>1948</v>
      </c>
      <c r="S205" s="26" t="str">
        <f aca="false">IFERROR(INDEX(W1_WYBOR!$V$6:$V$80,MATCH($L205,W1_WYBOR!$A$6:$A$80,0)),"")</f>
        <v>Zaimplementowane: terminy, rezerwacja bez podwójnych zapisów, odwołania, lista oczekujących, przypomnienia, NFZ</v>
      </c>
    </row>
    <row r="206" customFormat="false" ht="37.5" hidden="false" customHeight="true" outlineLevel="0" collapsed="false">
      <c r="A206" s="24" t="s">
        <v>1949</v>
      </c>
      <c r="B206" s="26" t="s">
        <v>1950</v>
      </c>
      <c r="C206" s="26" t="s">
        <v>1619</v>
      </c>
      <c r="D206" s="26" t="s">
        <v>1951</v>
      </c>
      <c r="E206" s="27" t="s">
        <v>1720</v>
      </c>
      <c r="F206" s="27" t="s">
        <v>1721</v>
      </c>
      <c r="G206" s="27" t="n">
        <v>44</v>
      </c>
      <c r="H206" s="26" t="s">
        <v>1621</v>
      </c>
      <c r="I206" s="27" t="s">
        <v>1309</v>
      </c>
      <c r="J206" s="26" t="s">
        <v>1952</v>
      </c>
      <c r="K206" s="26" t="s">
        <v>1953</v>
      </c>
      <c r="L206" s="24" t="s">
        <v>396</v>
      </c>
      <c r="M206" s="26" t="str">
        <f aca="false">IFERROR(INDEX(W1_WYBOR!$B$6:$B$80,MATCH($L206,W1_WYBOR!$A$6:$A$80,0)),"")</f>
        <v>Domowe urządzenia pomiarowe</v>
      </c>
      <c r="N206" s="26" t="str">
        <f aca="false">IFERROR(INDEX(W1_WYBOR!$F$6:$F$80,MATCH($L206,W1_WYBOR!$A$6:$A$80,0)),"")</f>
        <v>KUPUJEMY URZĄDZENIA + standard Bluetooth</v>
      </c>
      <c r="O206" s="28" t="str">
        <f aca="false">IFERROR(INDEX(W1_WYBOR!$L$6:$L$80,MATCH($L206,W1_WYBOR!$A$6:$A$80,0)),"")</f>
        <v>Withings (plan Standard bezpłatnie) + dowolne urządzenia z profilem Bluetooth GATT + zdjęcie wyświetlacza</v>
      </c>
      <c r="P206" s="28" t="str">
        <f aca="false">IFERROR(INDEX(W1_WYBOR!$M$6:$M$80,MATCH($L206,W1_WYBOR!$A$6:$A$80,0)),"")</f>
        <v>Withings Health Solutions (zestawy komórkowe, wysyłka) dla RPM i Station; Enterprise powyżej 5 000 aktywnych</v>
      </c>
      <c r="Q206" s="27" t="str">
        <f aca="false">IFERROR(INDEX(W1_WYBOR!$P$6:$P$80,MATCH($L206,W1_WYBOR!$A$6:$A$80,0)),"")</f>
        <v>BEZ ZMIAN</v>
      </c>
      <c r="R206" s="26"/>
      <c r="S206" s="26" t="str">
        <f aca="false">IFERROR(INDEX(W1_WYBOR!$V$6:$V$80,MATCH($L206,W1_WYBOR!$A$6:$A$80,0)),"")</f>
        <v>Zaimplementowane: Web Bluetooth (5 profili), Withings OAuth, wpis ręczny</v>
      </c>
    </row>
    <row r="207" customFormat="false" ht="25.5" hidden="false" customHeight="true" outlineLevel="0" collapsed="false">
      <c r="A207" s="24" t="s">
        <v>1954</v>
      </c>
      <c r="B207" s="26" t="s">
        <v>1955</v>
      </c>
      <c r="C207" s="26" t="s">
        <v>1641</v>
      </c>
      <c r="D207" s="26" t="s">
        <v>1956</v>
      </c>
      <c r="E207" s="27" t="s">
        <v>1720</v>
      </c>
      <c r="F207" s="27" t="s">
        <v>1721</v>
      </c>
      <c r="G207" s="27" t="n">
        <v>36</v>
      </c>
      <c r="H207" s="26" t="s">
        <v>1957</v>
      </c>
      <c r="I207" s="27" t="s">
        <v>1958</v>
      </c>
      <c r="J207" s="26" t="s">
        <v>1045</v>
      </c>
      <c r="K207" s="26" t="s">
        <v>1959</v>
      </c>
      <c r="L207" s="24" t="s">
        <v>1043</v>
      </c>
      <c r="M207" s="26" t="str">
        <f aca="false">IFERROR(INDEX(W1_WYBOR!$B$6:$B$80,MATCH($L207,W1_WYBOR!$A$6:$A$80,0)),"")</f>
        <v>Model ciała 3D</v>
      </c>
      <c r="N207" s="26" t="str">
        <f aca="false">IFERROR(INDEX(W1_WYBOR!$F$6:$F$80,MATCH($L207,W1_WYBOR!$A$6:$A$80,0)),"")</f>
        <v>OPEN SOURCE w aplikacji</v>
      </c>
      <c r="O207" s="28" t="str">
        <f aca="false">IFERROR(INDEX(W1_WYBOR!$L$6:$L$80,MATCH($L207,W1_WYBOR!$A$6:$A$80,0)),"")</f>
        <v>Three.js + otwarty model anatomii (statyczny widok, kolory stanu danych)</v>
      </c>
      <c r="P207" s="28" t="str">
        <f aca="false">IFERROR(INDEX(W1_WYBOR!$M$6:$M$80,MATCH($L207,W1_WYBOR!$A$6:$A$80,0)),"")</f>
        <v>Jak MVP</v>
      </c>
      <c r="Q207" s="27" t="str">
        <f aca="false">IFERROR(INDEX(W1_WYBOR!$P$6:$P$80,MATCH($L207,W1_WYBOR!$A$6:$A$80,0)),"")</f>
        <v>ZMIANA</v>
      </c>
      <c r="R207" s="26" t="s">
        <v>1960</v>
      </c>
      <c r="S207" s="26" t="str">
        <f aca="false">IFERROR(INDEX(W1_WYBOR!$V$6:$V$80,MATCH($L207,W1_WYBOR!$A$6:$A$80,0)),"")</f>
        <v>Brak</v>
      </c>
    </row>
    <row r="208" customFormat="false" ht="25.5" hidden="false" customHeight="true" outlineLevel="0" collapsed="false">
      <c r="A208" s="24" t="s">
        <v>1961</v>
      </c>
      <c r="B208" s="26" t="s">
        <v>1962</v>
      </c>
      <c r="C208" s="26" t="s">
        <v>1641</v>
      </c>
      <c r="D208" s="26" t="s">
        <v>1956</v>
      </c>
      <c r="E208" s="27" t="s">
        <v>1720</v>
      </c>
      <c r="F208" s="27" t="s">
        <v>1721</v>
      </c>
      <c r="G208" s="27" t="n">
        <v>36</v>
      </c>
      <c r="H208" s="26" t="s">
        <v>1957</v>
      </c>
      <c r="I208" s="27" t="s">
        <v>1309</v>
      </c>
      <c r="J208" s="26" t="s">
        <v>1121</v>
      </c>
      <c r="K208" s="26" t="s">
        <v>151</v>
      </c>
      <c r="L208" s="24" t="s">
        <v>1119</v>
      </c>
      <c r="M208" s="26" t="str">
        <f aca="false">IFERROR(INDEX(W1_WYBOR!$B$6:$B$80,MATCH($L208,W1_WYBOR!$A$6:$A$80,0)),"")</f>
        <v>Funkcja własna na wspólnych komponentach (W2)</v>
      </c>
      <c r="N208" s="26" t="str">
        <f aca="false">IFERROR(INDEX(W1_WYBOR!$F$6:$F$80,MATCH($L208,W1_WYBOR!$A$6:$A$80,0)),"")</f>
        <v>WŁASNE na komponentach z W2</v>
      </c>
      <c r="O208" s="28" t="str">
        <f aca="false">IFERROR(INDEX(W1_WYBOR!$L$6:$L$80,MATCH($L208,W1_WYBOR!$A$6:$A$80,0)),"")</f>
        <v>Budujemy w aplikacji Eternal na komponentach W2</v>
      </c>
      <c r="P208" s="28" t="str">
        <f aca="false">IFERROR(INDEX(W1_WYBOR!$M$6:$M$80,MATCH($L208,W1_WYBOR!$A$6:$A$80,0)),"")</f>
        <v>Jak MVP</v>
      </c>
      <c r="Q208" s="27" t="str">
        <f aca="false">IFERROR(INDEX(W1_WYBOR!$P$6:$P$80,MATCH($L208,W1_WYBOR!$A$6:$A$80,0)),"")</f>
        <v>BEZ ZMIAN</v>
      </c>
      <c r="R208" s="26"/>
      <c r="S208" s="26" t="str">
        <f aca="false">IFERROR(INDEX(W1_WYBOR!$V$6:$V$80,MATCH($L208,W1_WYBOR!$A$6:$A$80,0)),"")</f>
        <v>Zob. kolumna uwag w W3</v>
      </c>
    </row>
    <row r="209" customFormat="false" ht="25.5" hidden="false" customHeight="true" outlineLevel="0" collapsed="false">
      <c r="A209" s="24" t="s">
        <v>1963</v>
      </c>
      <c r="B209" s="26" t="s">
        <v>1964</v>
      </c>
      <c r="C209" s="26" t="s">
        <v>1641</v>
      </c>
      <c r="D209" s="26" t="s">
        <v>1956</v>
      </c>
      <c r="E209" s="27" t="s">
        <v>1720</v>
      </c>
      <c r="F209" s="27" t="s">
        <v>1721</v>
      </c>
      <c r="G209" s="27" t="n">
        <v>36</v>
      </c>
      <c r="H209" s="26" t="s">
        <v>1957</v>
      </c>
      <c r="I209" s="27" t="s">
        <v>1309</v>
      </c>
      <c r="J209" s="26" t="s">
        <v>1121</v>
      </c>
      <c r="K209" s="26" t="s">
        <v>151</v>
      </c>
      <c r="L209" s="24" t="s">
        <v>1119</v>
      </c>
      <c r="M209" s="26" t="str">
        <f aca="false">IFERROR(INDEX(W1_WYBOR!$B$6:$B$80,MATCH($L209,W1_WYBOR!$A$6:$A$80,0)),"")</f>
        <v>Funkcja własna na wspólnych komponentach (W2)</v>
      </c>
      <c r="N209" s="26" t="str">
        <f aca="false">IFERROR(INDEX(W1_WYBOR!$F$6:$F$80,MATCH($L209,W1_WYBOR!$A$6:$A$80,0)),"")</f>
        <v>WŁASNE na komponentach z W2</v>
      </c>
      <c r="O209" s="28" t="str">
        <f aca="false">IFERROR(INDEX(W1_WYBOR!$L$6:$L$80,MATCH($L209,W1_WYBOR!$A$6:$A$80,0)),"")</f>
        <v>Budujemy w aplikacji Eternal na komponentach W2</v>
      </c>
      <c r="P209" s="28" t="str">
        <f aca="false">IFERROR(INDEX(W1_WYBOR!$M$6:$M$80,MATCH($L209,W1_WYBOR!$A$6:$A$80,0)),"")</f>
        <v>Jak MVP</v>
      </c>
      <c r="Q209" s="27" t="str">
        <f aca="false">IFERROR(INDEX(W1_WYBOR!$P$6:$P$80,MATCH($L209,W1_WYBOR!$A$6:$A$80,0)),"")</f>
        <v>BEZ ZMIAN</v>
      </c>
      <c r="R209" s="26"/>
      <c r="S209" s="26" t="str">
        <f aca="false">IFERROR(INDEX(W1_WYBOR!$V$6:$V$80,MATCH($L209,W1_WYBOR!$A$6:$A$80,0)),"")</f>
        <v>Zob. kolumna uwag w W3</v>
      </c>
    </row>
    <row r="210" customFormat="false" ht="25.5" hidden="false" customHeight="true" outlineLevel="0" collapsed="false">
      <c r="A210" s="24" t="s">
        <v>1965</v>
      </c>
      <c r="B210" s="26" t="s">
        <v>1966</v>
      </c>
      <c r="C210" s="26" t="s">
        <v>1967</v>
      </c>
      <c r="D210" s="26" t="s">
        <v>1968</v>
      </c>
      <c r="E210" s="27" t="s">
        <v>1720</v>
      </c>
      <c r="F210" s="27" t="s">
        <v>1721</v>
      </c>
      <c r="G210" s="27" t="n">
        <v>40</v>
      </c>
      <c r="H210" s="26" t="s">
        <v>1969</v>
      </c>
      <c r="I210" s="27" t="s">
        <v>1970</v>
      </c>
      <c r="J210" s="26" t="s">
        <v>984</v>
      </c>
      <c r="K210" s="26" t="s">
        <v>1971</v>
      </c>
      <c r="L210" s="24" t="s">
        <v>982</v>
      </c>
      <c r="M210" s="26" t="str">
        <f aca="false">IFERROR(INDEX(W1_WYBOR!$B$6:$B$80,MATCH($L210,W1_WYBOR!$A$6:$A$80,0)),"")</f>
        <v>Treści — baza wiedzy (CMS)</v>
      </c>
      <c r="N210" s="26" t="str">
        <f aca="false">IFERROR(INDEX(W1_WYBOR!$F$6:$F$80,MATCH($L210,W1_WYBOR!$A$6:$A$80,0)),"")</f>
        <v>OPEN SOURCE u nas</v>
      </c>
      <c r="O210" s="28" t="str">
        <f aca="false">IFERROR(INDEX(W1_WYBOR!$L$6:$L$80,MATCH($L210,W1_WYBOR!$A$6:$A$80,0)),"")</f>
        <v>Strapi na naszym serwerze</v>
      </c>
      <c r="P210" s="28" t="str">
        <f aca="false">IFERROR(INDEX(W1_WYBOR!$M$6:$M$80,MATCH($L210,W1_WYBOR!$A$6:$A$80,0)),"")</f>
        <v>Jak MVP</v>
      </c>
      <c r="Q210" s="27" t="str">
        <f aca="false">IFERROR(INDEX(W1_WYBOR!$P$6:$P$80,MATCH($L210,W1_WYBOR!$A$6:$A$80,0)),"")</f>
        <v>BEZ ZMIAN</v>
      </c>
      <c r="R210" s="26"/>
      <c r="S210" s="26" t="str">
        <f aca="false">IFERROR(INDEX(W1_WYBOR!$V$6:$V$80,MATCH($L210,W1_WYBOR!$A$6:$A$80,0)),"")</f>
        <v>Brak</v>
      </c>
    </row>
    <row r="211" customFormat="false" ht="25.5" hidden="false" customHeight="true" outlineLevel="0" collapsed="false">
      <c r="A211" s="24" t="s">
        <v>1972</v>
      </c>
      <c r="B211" s="26" t="s">
        <v>1973</v>
      </c>
      <c r="C211" s="26" t="s">
        <v>1967</v>
      </c>
      <c r="D211" s="26" t="s">
        <v>1968</v>
      </c>
      <c r="E211" s="27" t="s">
        <v>1720</v>
      </c>
      <c r="F211" s="27" t="s">
        <v>1721</v>
      </c>
      <c r="G211" s="27" t="n">
        <v>40</v>
      </c>
      <c r="H211" s="26" t="s">
        <v>1969</v>
      </c>
      <c r="I211" s="27" t="s">
        <v>1974</v>
      </c>
      <c r="J211" s="26" t="s">
        <v>996</v>
      </c>
      <c r="K211" s="26" t="s">
        <v>1975</v>
      </c>
      <c r="L211" s="24" t="s">
        <v>994</v>
      </c>
      <c r="M211" s="26" t="str">
        <f aca="false">IFERROR(INDEX(W1_WYBOR!$B$6:$B$80,MATCH($L211,W1_WYBOR!$A$6:$A$80,0)),"")</f>
        <v>Forum i społeczność</v>
      </c>
      <c r="N211" s="26" t="str">
        <f aca="false">IFERROR(INDEX(W1_WYBOR!$F$6:$F$80,MATCH($L211,W1_WYBOR!$A$6:$A$80,0)),"")</f>
        <v>OPEN SOURCE u nas</v>
      </c>
      <c r="O211" s="28" t="str">
        <f aca="false">IFERROR(INDEX(W1_WYBOR!$L$6:$L$80,MATCH($L211,W1_WYBOR!$A$6:$A$80,0)),"")</f>
        <v>Discourse na naszym serwerze z moderacją i ścieżką kryzysową</v>
      </c>
      <c r="P211" s="28" t="str">
        <f aca="false">IFERROR(INDEX(W1_WYBOR!$M$6:$M$80,MATCH($L211,W1_WYBOR!$A$6:$A$80,0)),"")</f>
        <v>Jak MVP</v>
      </c>
      <c r="Q211" s="27" t="str">
        <f aca="false">IFERROR(INDEX(W1_WYBOR!$P$6:$P$80,MATCH($L211,W1_WYBOR!$A$6:$A$80,0)),"")</f>
        <v>BEZ ZMIAN</v>
      </c>
      <c r="R211" s="26"/>
      <c r="S211" s="26" t="str">
        <f aca="false">IFERROR(INDEX(W1_WYBOR!$V$6:$V$80,MATCH($L211,W1_WYBOR!$A$6:$A$80,0)),"")</f>
        <v>Brak</v>
      </c>
    </row>
    <row r="212" customFormat="false" ht="25.5" hidden="false" customHeight="true" outlineLevel="0" collapsed="false">
      <c r="A212" s="24" t="s">
        <v>1976</v>
      </c>
      <c r="B212" s="26" t="s">
        <v>1977</v>
      </c>
      <c r="C212" s="26" t="s">
        <v>1967</v>
      </c>
      <c r="D212" s="26" t="s">
        <v>1968</v>
      </c>
      <c r="E212" s="27" t="s">
        <v>1720</v>
      </c>
      <c r="F212" s="27" t="s">
        <v>1721</v>
      </c>
      <c r="G212" s="27" t="n">
        <v>40</v>
      </c>
      <c r="H212" s="26" t="s">
        <v>1969</v>
      </c>
      <c r="I212" s="27" t="s">
        <v>1978</v>
      </c>
      <c r="J212" s="26" t="s">
        <v>1008</v>
      </c>
      <c r="K212" s="26" t="s">
        <v>1013</v>
      </c>
      <c r="L212" s="24" t="s">
        <v>1006</v>
      </c>
      <c r="M212" s="26" t="str">
        <f aca="false">IFERROR(INDEX(W1_WYBOR!$B$6:$B$80,MATCH($L212,W1_WYBOR!$A$6:$A$80,0)),"")</f>
        <v>Webinary i wydarzenia na żywo</v>
      </c>
      <c r="N212" s="26" t="str">
        <f aca="false">IFERROR(INDEX(W1_WYBOR!$F$6:$F$80,MATCH($L212,W1_WYBOR!$A$6:$A$80,0)),"")</f>
        <v>KUPUJEMY USŁUGĘ</v>
      </c>
      <c r="O212" s="28" t="str">
        <f aca="false">IFERROR(INDEX(W1_WYBOR!$L$6:$L$80,MATCH($L212,W1_WYBOR!$A$6:$A$80,0)),"")</f>
        <v>ClickMeeting</v>
      </c>
      <c r="P212" s="28" t="str">
        <f aca="false">IFERROR(INDEX(W1_WYBOR!$M$6:$M$80,MATCH($L212,W1_WYBOR!$A$6:$A$80,0)),"")</f>
        <v>ClickMeeting albo LiveKit w aplikacji</v>
      </c>
      <c r="Q212" s="27" t="str">
        <f aca="false">IFERROR(INDEX(W1_WYBOR!$P$6:$P$80,MATCH($L212,W1_WYBOR!$A$6:$A$80,0)),"")</f>
        <v>BEZ ZMIAN</v>
      </c>
      <c r="R212" s="26" t="s">
        <v>1979</v>
      </c>
      <c r="S212" s="26" t="str">
        <f aca="false">IFERROR(INDEX(W1_WYBOR!$V$6:$V$80,MATCH($L212,W1_WYBOR!$A$6:$A$80,0)),"")</f>
        <v>Brak</v>
      </c>
    </row>
    <row r="213" customFormat="false" ht="37.5" hidden="false" customHeight="true" outlineLevel="0" collapsed="false">
      <c r="A213" s="24" t="s">
        <v>1980</v>
      </c>
      <c r="B213" s="26" t="s">
        <v>1981</v>
      </c>
      <c r="C213" s="26" t="s">
        <v>1967</v>
      </c>
      <c r="D213" s="26" t="s">
        <v>1968</v>
      </c>
      <c r="E213" s="27" t="s">
        <v>1720</v>
      </c>
      <c r="F213" s="27" t="s">
        <v>1721</v>
      </c>
      <c r="G213" s="27" t="n">
        <v>40</v>
      </c>
      <c r="H213" s="26" t="s">
        <v>1969</v>
      </c>
      <c r="I213" s="27" t="s">
        <v>1982</v>
      </c>
      <c r="J213" s="26" t="s">
        <v>1020</v>
      </c>
      <c r="K213" s="26" t="s">
        <v>1691</v>
      </c>
      <c r="L213" s="24" t="s">
        <v>1018</v>
      </c>
      <c r="M213" s="26" t="str">
        <f aca="false">IFERROR(INDEX(W1_WYBOR!$B$6:$B$80,MATCH($L213,W1_WYBOR!$A$6:$A$80,0)),"")</f>
        <v>Organizacje pacjentów (prowadzący grupy)</v>
      </c>
      <c r="N213" s="26" t="str">
        <f aca="false">IFERROR(INDEX(W1_WYBOR!$F$6:$F$80,MATCH($L213,W1_WYBOR!$A$6:$A$80,0)),"")</f>
        <v>POŚREDNICTWO PARTNERA (ludzie)</v>
      </c>
      <c r="O213" s="28" t="str">
        <f aca="false">IFERROR(INDEX(W1_WYBOR!$L$6:$L$80,MATCH($L213,W1_WYBOR!$A$6:$A$80,0)),"")</f>
        <v>Partner w naborze</v>
      </c>
      <c r="P213" s="28" t="str">
        <f aca="false">IFERROR(INDEX(W1_WYBOR!$M$6:$M$80,MATCH($L213,W1_WYBOR!$A$6:$A$80,0)),"")</f>
        <v>Jak MVP</v>
      </c>
      <c r="Q213" s="27" t="str">
        <f aca="false">IFERROR(INDEX(W1_WYBOR!$P$6:$P$80,MATCH($L213,W1_WYBOR!$A$6:$A$80,0)),"")</f>
        <v>BEZ ZMIAN</v>
      </c>
      <c r="R213" s="26"/>
      <c r="S213" s="26" t="str">
        <f aca="false">IFERROR(INDEX(W1_WYBOR!$V$6:$V$80,MATCH($L213,W1_WYBOR!$A$6:$A$80,0)),"")</f>
        <v>Brak</v>
      </c>
    </row>
    <row r="214" customFormat="false" ht="25.5" hidden="false" customHeight="true" outlineLevel="0" collapsed="false">
      <c r="A214" s="24" t="s">
        <v>1983</v>
      </c>
      <c r="B214" s="26" t="s">
        <v>1984</v>
      </c>
      <c r="C214" s="26" t="s">
        <v>1967</v>
      </c>
      <c r="D214" s="26" t="s">
        <v>1985</v>
      </c>
      <c r="E214" s="27" t="s">
        <v>1720</v>
      </c>
      <c r="F214" s="27" t="s">
        <v>1721</v>
      </c>
      <c r="G214" s="27" t="n">
        <v>40</v>
      </c>
      <c r="H214" s="26" t="s">
        <v>1969</v>
      </c>
      <c r="I214" s="27" t="s">
        <v>1309</v>
      </c>
      <c r="J214" s="26" t="s">
        <v>984</v>
      </c>
      <c r="K214" s="26" t="s">
        <v>1971</v>
      </c>
      <c r="L214" s="24" t="s">
        <v>982</v>
      </c>
      <c r="M214" s="26" t="str">
        <f aca="false">IFERROR(INDEX(W1_WYBOR!$B$6:$B$80,MATCH($L214,W1_WYBOR!$A$6:$A$80,0)),"")</f>
        <v>Treści — baza wiedzy (CMS)</v>
      </c>
      <c r="N214" s="26" t="str">
        <f aca="false">IFERROR(INDEX(W1_WYBOR!$F$6:$F$80,MATCH($L214,W1_WYBOR!$A$6:$A$80,0)),"")</f>
        <v>OPEN SOURCE u nas</v>
      </c>
      <c r="O214" s="28" t="str">
        <f aca="false">IFERROR(INDEX(W1_WYBOR!$L$6:$L$80,MATCH($L214,W1_WYBOR!$A$6:$A$80,0)),"")</f>
        <v>Strapi na naszym serwerze</v>
      </c>
      <c r="P214" s="28" t="str">
        <f aca="false">IFERROR(INDEX(W1_WYBOR!$M$6:$M$80,MATCH($L214,W1_WYBOR!$A$6:$A$80,0)),"")</f>
        <v>Jak MVP</v>
      </c>
      <c r="Q214" s="27" t="str">
        <f aca="false">IFERROR(INDEX(W1_WYBOR!$P$6:$P$80,MATCH($L214,W1_WYBOR!$A$6:$A$80,0)),"")</f>
        <v>BEZ ZMIAN</v>
      </c>
      <c r="R214" s="26"/>
      <c r="S214" s="26" t="str">
        <f aca="false">IFERROR(INDEX(W1_WYBOR!$V$6:$V$80,MATCH($L214,W1_WYBOR!$A$6:$A$80,0)),"")</f>
        <v>Brak</v>
      </c>
    </row>
    <row r="215" customFormat="false" ht="25.5" hidden="false" customHeight="true" outlineLevel="0" collapsed="false">
      <c r="A215" s="24" t="s">
        <v>1986</v>
      </c>
      <c r="B215" s="26" t="s">
        <v>1987</v>
      </c>
      <c r="C215" s="26" t="s">
        <v>1967</v>
      </c>
      <c r="D215" s="26" t="s">
        <v>1985</v>
      </c>
      <c r="E215" s="27" t="s">
        <v>1720</v>
      </c>
      <c r="F215" s="27" t="s">
        <v>1721</v>
      </c>
      <c r="G215" s="27" t="n">
        <v>40</v>
      </c>
      <c r="H215" s="26" t="s">
        <v>1969</v>
      </c>
      <c r="I215" s="27" t="s">
        <v>1309</v>
      </c>
      <c r="J215" s="26" t="s">
        <v>996</v>
      </c>
      <c r="K215" s="26" t="s">
        <v>1975</v>
      </c>
      <c r="L215" s="24" t="s">
        <v>994</v>
      </c>
      <c r="M215" s="26" t="str">
        <f aca="false">IFERROR(INDEX(W1_WYBOR!$B$6:$B$80,MATCH($L215,W1_WYBOR!$A$6:$A$80,0)),"")</f>
        <v>Forum i społeczność</v>
      </c>
      <c r="N215" s="26" t="str">
        <f aca="false">IFERROR(INDEX(W1_WYBOR!$F$6:$F$80,MATCH($L215,W1_WYBOR!$A$6:$A$80,0)),"")</f>
        <v>OPEN SOURCE u nas</v>
      </c>
      <c r="O215" s="28" t="str">
        <f aca="false">IFERROR(INDEX(W1_WYBOR!$L$6:$L$80,MATCH($L215,W1_WYBOR!$A$6:$A$80,0)),"")</f>
        <v>Discourse na naszym serwerze z moderacją i ścieżką kryzysową</v>
      </c>
      <c r="P215" s="28" t="str">
        <f aca="false">IFERROR(INDEX(W1_WYBOR!$M$6:$M$80,MATCH($L215,W1_WYBOR!$A$6:$A$80,0)),"")</f>
        <v>Jak MVP</v>
      </c>
      <c r="Q215" s="27" t="str">
        <f aca="false">IFERROR(INDEX(W1_WYBOR!$P$6:$P$80,MATCH($L215,W1_WYBOR!$A$6:$A$80,0)),"")</f>
        <v>BEZ ZMIAN</v>
      </c>
      <c r="R215" s="26"/>
      <c r="S215" s="26" t="str">
        <f aca="false">IFERROR(INDEX(W1_WYBOR!$V$6:$V$80,MATCH($L215,W1_WYBOR!$A$6:$A$80,0)),"")</f>
        <v>Brak</v>
      </c>
    </row>
    <row r="216" customFormat="false" ht="25.5" hidden="false" customHeight="true" outlineLevel="0" collapsed="false">
      <c r="A216" s="24" t="s">
        <v>1988</v>
      </c>
      <c r="B216" s="26" t="s">
        <v>1989</v>
      </c>
      <c r="C216" s="26" t="s">
        <v>1967</v>
      </c>
      <c r="D216" s="26" t="s">
        <v>1985</v>
      </c>
      <c r="E216" s="27" t="s">
        <v>1720</v>
      </c>
      <c r="F216" s="27" t="s">
        <v>1721</v>
      </c>
      <c r="G216" s="27" t="n">
        <v>40</v>
      </c>
      <c r="H216" s="26" t="s">
        <v>1969</v>
      </c>
      <c r="I216" s="27" t="s">
        <v>1990</v>
      </c>
      <c r="J216" s="26" t="s">
        <v>1121</v>
      </c>
      <c r="K216" s="26" t="s">
        <v>151</v>
      </c>
      <c r="L216" s="24" t="s">
        <v>1119</v>
      </c>
      <c r="M216" s="26" t="str">
        <f aca="false">IFERROR(INDEX(W1_WYBOR!$B$6:$B$80,MATCH($L216,W1_WYBOR!$A$6:$A$80,0)),"")</f>
        <v>Funkcja własna na wspólnych komponentach (W2)</v>
      </c>
      <c r="N216" s="26" t="str">
        <f aca="false">IFERROR(INDEX(W1_WYBOR!$F$6:$F$80,MATCH($L216,W1_WYBOR!$A$6:$A$80,0)),"")</f>
        <v>WŁASNE na komponentach z W2</v>
      </c>
      <c r="O216" s="28" t="str">
        <f aca="false">IFERROR(INDEX(W1_WYBOR!$L$6:$L$80,MATCH($L216,W1_WYBOR!$A$6:$A$80,0)),"")</f>
        <v>Budujemy w aplikacji Eternal na komponentach W2</v>
      </c>
      <c r="P216" s="28" t="str">
        <f aca="false">IFERROR(INDEX(W1_WYBOR!$M$6:$M$80,MATCH($L216,W1_WYBOR!$A$6:$A$80,0)),"")</f>
        <v>Jak MVP</v>
      </c>
      <c r="Q216" s="27" t="str">
        <f aca="false">IFERROR(INDEX(W1_WYBOR!$P$6:$P$80,MATCH($L216,W1_WYBOR!$A$6:$A$80,0)),"")</f>
        <v>BEZ ZMIAN</v>
      </c>
      <c r="R216" s="26"/>
      <c r="S216" s="26" t="str">
        <f aca="false">IFERROR(INDEX(W1_WYBOR!$V$6:$V$80,MATCH($L216,W1_WYBOR!$A$6:$A$80,0)),"")</f>
        <v>Zob. kolumna uwag w W3</v>
      </c>
    </row>
    <row r="217" customFormat="false" ht="25.5" hidden="false" customHeight="true" outlineLevel="0" collapsed="false">
      <c r="A217" s="24" t="s">
        <v>1991</v>
      </c>
      <c r="B217" s="26" t="s">
        <v>1992</v>
      </c>
      <c r="C217" s="26" t="s">
        <v>1967</v>
      </c>
      <c r="D217" s="26" t="s">
        <v>1985</v>
      </c>
      <c r="E217" s="27" t="s">
        <v>1720</v>
      </c>
      <c r="F217" s="27" t="s">
        <v>1721</v>
      </c>
      <c r="G217" s="27" t="n">
        <v>40</v>
      </c>
      <c r="H217" s="26" t="s">
        <v>1969</v>
      </c>
      <c r="I217" s="27" t="s">
        <v>1309</v>
      </c>
      <c r="J217" s="26" t="s">
        <v>1008</v>
      </c>
      <c r="K217" s="26" t="s">
        <v>1013</v>
      </c>
      <c r="L217" s="24" t="s">
        <v>1006</v>
      </c>
      <c r="M217" s="26" t="str">
        <f aca="false">IFERROR(INDEX(W1_WYBOR!$B$6:$B$80,MATCH($L217,W1_WYBOR!$A$6:$A$80,0)),"")</f>
        <v>Webinary i wydarzenia na żywo</v>
      </c>
      <c r="N217" s="26" t="str">
        <f aca="false">IFERROR(INDEX(W1_WYBOR!$F$6:$F$80,MATCH($L217,W1_WYBOR!$A$6:$A$80,0)),"")</f>
        <v>KUPUJEMY USŁUGĘ</v>
      </c>
      <c r="O217" s="28" t="str">
        <f aca="false">IFERROR(INDEX(W1_WYBOR!$L$6:$L$80,MATCH($L217,W1_WYBOR!$A$6:$A$80,0)),"")</f>
        <v>ClickMeeting</v>
      </c>
      <c r="P217" s="28" t="str">
        <f aca="false">IFERROR(INDEX(W1_WYBOR!$M$6:$M$80,MATCH($L217,W1_WYBOR!$A$6:$A$80,0)),"")</f>
        <v>ClickMeeting albo LiveKit w aplikacji</v>
      </c>
      <c r="Q217" s="27" t="str">
        <f aca="false">IFERROR(INDEX(W1_WYBOR!$P$6:$P$80,MATCH($L217,W1_WYBOR!$A$6:$A$80,0)),"")</f>
        <v>BEZ ZMIAN</v>
      </c>
      <c r="R217" s="26" t="s">
        <v>1993</v>
      </c>
      <c r="S217" s="26" t="str">
        <f aca="false">IFERROR(INDEX(W1_WYBOR!$V$6:$V$80,MATCH($L217,W1_WYBOR!$A$6:$A$80,0)),"")</f>
        <v>Brak</v>
      </c>
    </row>
    <row r="218" customFormat="false" ht="37.5" hidden="false" customHeight="true" outlineLevel="0" collapsed="false">
      <c r="A218" s="24" t="s">
        <v>1994</v>
      </c>
      <c r="B218" s="26" t="s">
        <v>1995</v>
      </c>
      <c r="C218" s="26" t="s">
        <v>1967</v>
      </c>
      <c r="D218" s="26" t="s">
        <v>1985</v>
      </c>
      <c r="E218" s="27" t="s">
        <v>1720</v>
      </c>
      <c r="F218" s="27" t="s">
        <v>1721</v>
      </c>
      <c r="G218" s="27" t="n">
        <v>40</v>
      </c>
      <c r="H218" s="26" t="s">
        <v>1969</v>
      </c>
      <c r="I218" s="27" t="s">
        <v>1309</v>
      </c>
      <c r="J218" s="26" t="s">
        <v>1020</v>
      </c>
      <c r="K218" s="26" t="s">
        <v>1691</v>
      </c>
      <c r="L218" s="24" t="s">
        <v>1018</v>
      </c>
      <c r="M218" s="26" t="str">
        <f aca="false">IFERROR(INDEX(W1_WYBOR!$B$6:$B$80,MATCH($L218,W1_WYBOR!$A$6:$A$80,0)),"")</f>
        <v>Organizacje pacjentów (prowadzący grupy)</v>
      </c>
      <c r="N218" s="26" t="str">
        <f aca="false">IFERROR(INDEX(W1_WYBOR!$F$6:$F$80,MATCH($L218,W1_WYBOR!$A$6:$A$80,0)),"")</f>
        <v>POŚREDNICTWO PARTNERA (ludzie)</v>
      </c>
      <c r="O218" s="28" t="str">
        <f aca="false">IFERROR(INDEX(W1_WYBOR!$L$6:$L$80,MATCH($L218,W1_WYBOR!$A$6:$A$80,0)),"")</f>
        <v>Partner w naborze</v>
      </c>
      <c r="P218" s="28" t="str">
        <f aca="false">IFERROR(INDEX(W1_WYBOR!$M$6:$M$80,MATCH($L218,W1_WYBOR!$A$6:$A$80,0)),"")</f>
        <v>Jak MVP</v>
      </c>
      <c r="Q218" s="27" t="str">
        <f aca="false">IFERROR(INDEX(W1_WYBOR!$P$6:$P$80,MATCH($L218,W1_WYBOR!$A$6:$A$80,0)),"")</f>
        <v>BEZ ZMIAN</v>
      </c>
      <c r="R218" s="26"/>
      <c r="S218" s="26" t="str">
        <f aca="false">IFERROR(INDEX(W1_WYBOR!$V$6:$V$80,MATCH($L218,W1_WYBOR!$A$6:$A$80,0)),"")</f>
        <v>Brak</v>
      </c>
    </row>
    <row r="219" customFormat="false" ht="25.5" hidden="false" customHeight="true" outlineLevel="0" collapsed="false">
      <c r="A219" s="24" t="s">
        <v>1996</v>
      </c>
      <c r="B219" s="26" t="s">
        <v>1997</v>
      </c>
      <c r="C219" s="26" t="s">
        <v>1967</v>
      </c>
      <c r="D219" s="26" t="s">
        <v>1985</v>
      </c>
      <c r="E219" s="27" t="s">
        <v>1720</v>
      </c>
      <c r="F219" s="27" t="s">
        <v>1721</v>
      </c>
      <c r="G219" s="27" t="n">
        <v>40</v>
      </c>
      <c r="H219" s="26" t="s">
        <v>1969</v>
      </c>
      <c r="I219" s="27" t="s">
        <v>1974</v>
      </c>
      <c r="J219" s="26" t="s">
        <v>996</v>
      </c>
      <c r="K219" s="26" t="s">
        <v>1975</v>
      </c>
      <c r="L219" s="24" t="s">
        <v>994</v>
      </c>
      <c r="M219" s="26" t="str">
        <f aca="false">IFERROR(INDEX(W1_WYBOR!$B$6:$B$80,MATCH($L219,W1_WYBOR!$A$6:$A$80,0)),"")</f>
        <v>Forum i społeczność</v>
      </c>
      <c r="N219" s="26" t="str">
        <f aca="false">IFERROR(INDEX(W1_WYBOR!$F$6:$F$80,MATCH($L219,W1_WYBOR!$A$6:$A$80,0)),"")</f>
        <v>OPEN SOURCE u nas</v>
      </c>
      <c r="O219" s="28" t="str">
        <f aca="false">IFERROR(INDEX(W1_WYBOR!$L$6:$L$80,MATCH($L219,W1_WYBOR!$A$6:$A$80,0)),"")</f>
        <v>Discourse na naszym serwerze z moderacją i ścieżką kryzysową</v>
      </c>
      <c r="P219" s="28" t="str">
        <f aca="false">IFERROR(INDEX(W1_WYBOR!$M$6:$M$80,MATCH($L219,W1_WYBOR!$A$6:$A$80,0)),"")</f>
        <v>Jak MVP</v>
      </c>
      <c r="Q219" s="27" t="str">
        <f aca="false">IFERROR(INDEX(W1_WYBOR!$P$6:$P$80,MATCH($L219,W1_WYBOR!$A$6:$A$80,0)),"")</f>
        <v>BEZ ZMIAN</v>
      </c>
      <c r="R219" s="26"/>
      <c r="S219" s="26" t="str">
        <f aca="false">IFERROR(INDEX(W1_WYBOR!$V$6:$V$80,MATCH($L219,W1_WYBOR!$A$6:$A$80,0)),"")</f>
        <v>Brak</v>
      </c>
    </row>
    <row r="220" customFormat="false" ht="25.5" hidden="false" customHeight="true" outlineLevel="0" collapsed="false">
      <c r="A220" s="24" t="s">
        <v>1998</v>
      </c>
      <c r="B220" s="26" t="s">
        <v>1999</v>
      </c>
      <c r="C220" s="26" t="s">
        <v>1967</v>
      </c>
      <c r="D220" s="26" t="s">
        <v>1985</v>
      </c>
      <c r="E220" s="27" t="s">
        <v>1720</v>
      </c>
      <c r="F220" s="27" t="s">
        <v>1721</v>
      </c>
      <c r="G220" s="27" t="n">
        <v>40</v>
      </c>
      <c r="H220" s="26" t="s">
        <v>1969</v>
      </c>
      <c r="I220" s="27" t="s">
        <v>2000</v>
      </c>
      <c r="J220" s="26" t="s">
        <v>996</v>
      </c>
      <c r="K220" s="26" t="s">
        <v>1975</v>
      </c>
      <c r="L220" s="24" t="s">
        <v>994</v>
      </c>
      <c r="M220" s="26" t="str">
        <f aca="false">IFERROR(INDEX(W1_WYBOR!$B$6:$B$80,MATCH($L220,W1_WYBOR!$A$6:$A$80,0)),"")</f>
        <v>Forum i społeczność</v>
      </c>
      <c r="N220" s="26" t="str">
        <f aca="false">IFERROR(INDEX(W1_WYBOR!$F$6:$F$80,MATCH($L220,W1_WYBOR!$A$6:$A$80,0)),"")</f>
        <v>OPEN SOURCE u nas</v>
      </c>
      <c r="O220" s="28" t="str">
        <f aca="false">IFERROR(INDEX(W1_WYBOR!$L$6:$L$80,MATCH($L220,W1_WYBOR!$A$6:$A$80,0)),"")</f>
        <v>Discourse na naszym serwerze z moderacją i ścieżką kryzysową</v>
      </c>
      <c r="P220" s="28" t="str">
        <f aca="false">IFERROR(INDEX(W1_WYBOR!$M$6:$M$80,MATCH($L220,W1_WYBOR!$A$6:$A$80,0)),"")</f>
        <v>Jak MVP</v>
      </c>
      <c r="Q220" s="27" t="str">
        <f aca="false">IFERROR(INDEX(W1_WYBOR!$P$6:$P$80,MATCH($L220,W1_WYBOR!$A$6:$A$80,0)),"")</f>
        <v>BEZ ZMIAN</v>
      </c>
      <c r="R220" s="26"/>
      <c r="S220" s="26" t="str">
        <f aca="false">IFERROR(INDEX(W1_WYBOR!$V$6:$V$80,MATCH($L220,W1_WYBOR!$A$6:$A$80,0)),"")</f>
        <v>Brak</v>
      </c>
    </row>
    <row r="221" customFormat="false" ht="37.5" hidden="false" customHeight="true" outlineLevel="0" collapsed="false">
      <c r="A221" s="24" t="s">
        <v>2001</v>
      </c>
      <c r="B221" s="26" t="s">
        <v>2002</v>
      </c>
      <c r="C221" s="26" t="s">
        <v>1967</v>
      </c>
      <c r="D221" s="26" t="s">
        <v>1985</v>
      </c>
      <c r="E221" s="27" t="s">
        <v>1720</v>
      </c>
      <c r="F221" s="27" t="s">
        <v>1721</v>
      </c>
      <c r="G221" s="27" t="n">
        <v>40</v>
      </c>
      <c r="H221" s="26" t="s">
        <v>1969</v>
      </c>
      <c r="I221" s="27" t="s">
        <v>1982</v>
      </c>
      <c r="J221" s="26" t="s">
        <v>1020</v>
      </c>
      <c r="K221" s="26" t="s">
        <v>1691</v>
      </c>
      <c r="L221" s="24" t="s">
        <v>1018</v>
      </c>
      <c r="M221" s="26" t="str">
        <f aca="false">IFERROR(INDEX(W1_WYBOR!$B$6:$B$80,MATCH($L221,W1_WYBOR!$A$6:$A$80,0)),"")</f>
        <v>Organizacje pacjentów (prowadzący grupy)</v>
      </c>
      <c r="N221" s="26" t="str">
        <f aca="false">IFERROR(INDEX(W1_WYBOR!$F$6:$F$80,MATCH($L221,W1_WYBOR!$A$6:$A$80,0)),"")</f>
        <v>POŚREDNICTWO PARTNERA (ludzie)</v>
      </c>
      <c r="O221" s="28" t="str">
        <f aca="false">IFERROR(INDEX(W1_WYBOR!$L$6:$L$80,MATCH($L221,W1_WYBOR!$A$6:$A$80,0)),"")</f>
        <v>Partner w naborze</v>
      </c>
      <c r="P221" s="28" t="str">
        <f aca="false">IFERROR(INDEX(W1_WYBOR!$M$6:$M$80,MATCH($L221,W1_WYBOR!$A$6:$A$80,0)),"")</f>
        <v>Jak MVP</v>
      </c>
      <c r="Q221" s="27" t="str">
        <f aca="false">IFERROR(INDEX(W1_WYBOR!$P$6:$P$80,MATCH($L221,W1_WYBOR!$A$6:$A$80,0)),"")</f>
        <v>BEZ ZMIAN</v>
      </c>
      <c r="R221" s="26"/>
      <c r="S221" s="26" t="str">
        <f aca="false">IFERROR(INDEX(W1_WYBOR!$V$6:$V$80,MATCH($L221,W1_WYBOR!$A$6:$A$80,0)),"")</f>
        <v>Brak</v>
      </c>
    </row>
    <row r="222" customFormat="false" ht="25.5" hidden="false" customHeight="true" outlineLevel="0" collapsed="false">
      <c r="A222" s="24" t="s">
        <v>2003</v>
      </c>
      <c r="B222" s="26" t="s">
        <v>2004</v>
      </c>
      <c r="C222" s="26" t="s">
        <v>1967</v>
      </c>
      <c r="D222" s="26" t="s">
        <v>1985</v>
      </c>
      <c r="E222" s="27" t="s">
        <v>1720</v>
      </c>
      <c r="F222" s="27" t="s">
        <v>1721</v>
      </c>
      <c r="G222" s="27" t="n">
        <v>40</v>
      </c>
      <c r="H222" s="26" t="s">
        <v>1969</v>
      </c>
      <c r="I222" s="27" t="s">
        <v>1309</v>
      </c>
      <c r="J222" s="26" t="s">
        <v>996</v>
      </c>
      <c r="K222" s="26" t="s">
        <v>1975</v>
      </c>
      <c r="L222" s="24" t="s">
        <v>994</v>
      </c>
      <c r="M222" s="26" t="str">
        <f aca="false">IFERROR(INDEX(W1_WYBOR!$B$6:$B$80,MATCH($L222,W1_WYBOR!$A$6:$A$80,0)),"")</f>
        <v>Forum i społeczność</v>
      </c>
      <c r="N222" s="26" t="str">
        <f aca="false">IFERROR(INDEX(W1_WYBOR!$F$6:$F$80,MATCH($L222,W1_WYBOR!$A$6:$A$80,0)),"")</f>
        <v>OPEN SOURCE u nas</v>
      </c>
      <c r="O222" s="28" t="str">
        <f aca="false">IFERROR(INDEX(W1_WYBOR!$L$6:$L$80,MATCH($L222,W1_WYBOR!$A$6:$A$80,0)),"")</f>
        <v>Discourse na naszym serwerze z moderacją i ścieżką kryzysową</v>
      </c>
      <c r="P222" s="28" t="str">
        <f aca="false">IFERROR(INDEX(W1_WYBOR!$M$6:$M$80,MATCH($L222,W1_WYBOR!$A$6:$A$80,0)),"")</f>
        <v>Jak MVP</v>
      </c>
      <c r="Q222" s="27" t="str">
        <f aca="false">IFERROR(INDEX(W1_WYBOR!$P$6:$P$80,MATCH($L222,W1_WYBOR!$A$6:$A$80,0)),"")</f>
        <v>BEZ ZMIAN</v>
      </c>
      <c r="R222" s="26"/>
      <c r="S222" s="26" t="str">
        <f aca="false">IFERROR(INDEX(W1_WYBOR!$V$6:$V$80,MATCH($L222,W1_WYBOR!$A$6:$A$80,0)),"")</f>
        <v>Brak</v>
      </c>
    </row>
    <row r="223" customFormat="false" ht="25.5" hidden="false" customHeight="true" outlineLevel="0" collapsed="false">
      <c r="A223" s="24" t="s">
        <v>2005</v>
      </c>
      <c r="B223" s="26" t="s">
        <v>2006</v>
      </c>
      <c r="C223" s="26" t="s">
        <v>1967</v>
      </c>
      <c r="D223" s="26" t="s">
        <v>1985</v>
      </c>
      <c r="E223" s="27" t="s">
        <v>1720</v>
      </c>
      <c r="F223" s="27" t="s">
        <v>1721</v>
      </c>
      <c r="G223" s="27" t="n">
        <v>40</v>
      </c>
      <c r="H223" s="26" t="s">
        <v>1969</v>
      </c>
      <c r="I223" s="27" t="s">
        <v>1978</v>
      </c>
      <c r="J223" s="26" t="s">
        <v>1008</v>
      </c>
      <c r="K223" s="26" t="s">
        <v>1013</v>
      </c>
      <c r="L223" s="24" t="s">
        <v>1006</v>
      </c>
      <c r="M223" s="26" t="str">
        <f aca="false">IFERROR(INDEX(W1_WYBOR!$B$6:$B$80,MATCH($L223,W1_WYBOR!$A$6:$A$80,0)),"")</f>
        <v>Webinary i wydarzenia na żywo</v>
      </c>
      <c r="N223" s="26" t="str">
        <f aca="false">IFERROR(INDEX(W1_WYBOR!$F$6:$F$80,MATCH($L223,W1_WYBOR!$A$6:$A$80,0)),"")</f>
        <v>KUPUJEMY USŁUGĘ</v>
      </c>
      <c r="O223" s="28" t="str">
        <f aca="false">IFERROR(INDEX(W1_WYBOR!$L$6:$L$80,MATCH($L223,W1_WYBOR!$A$6:$A$80,0)),"")</f>
        <v>ClickMeeting</v>
      </c>
      <c r="P223" s="28" t="str">
        <f aca="false">IFERROR(INDEX(W1_WYBOR!$M$6:$M$80,MATCH($L223,W1_WYBOR!$A$6:$A$80,0)),"")</f>
        <v>ClickMeeting albo LiveKit w aplikacji</v>
      </c>
      <c r="Q223" s="27" t="str">
        <f aca="false">IFERROR(INDEX(W1_WYBOR!$P$6:$P$80,MATCH($L223,W1_WYBOR!$A$6:$A$80,0)),"")</f>
        <v>BEZ ZMIAN</v>
      </c>
      <c r="R223" s="26" t="s">
        <v>1993</v>
      </c>
      <c r="S223" s="26" t="str">
        <f aca="false">IFERROR(INDEX(W1_WYBOR!$V$6:$V$80,MATCH($L223,W1_WYBOR!$A$6:$A$80,0)),"")</f>
        <v>Brak</v>
      </c>
    </row>
    <row r="224" customFormat="false" ht="37.5" hidden="false" customHeight="true" outlineLevel="0" collapsed="false">
      <c r="A224" s="24" t="s">
        <v>2007</v>
      </c>
      <c r="B224" s="26" t="s">
        <v>2008</v>
      </c>
      <c r="C224" s="26" t="s">
        <v>1967</v>
      </c>
      <c r="D224" s="26" t="s">
        <v>1985</v>
      </c>
      <c r="E224" s="27" t="s">
        <v>1720</v>
      </c>
      <c r="F224" s="27" t="s">
        <v>1721</v>
      </c>
      <c r="G224" s="27" t="n">
        <v>40</v>
      </c>
      <c r="H224" s="26" t="s">
        <v>1969</v>
      </c>
      <c r="I224" s="27" t="s">
        <v>1309</v>
      </c>
      <c r="J224" s="26" t="s">
        <v>901</v>
      </c>
      <c r="K224" s="26" t="s">
        <v>1825</v>
      </c>
      <c r="L224" s="24" t="s">
        <v>899</v>
      </c>
      <c r="M224" s="26" t="str">
        <f aca="false">IFERROR(INDEX(W1_WYBOR!$B$6:$B$80,MATCH($L224,W1_WYBOR!$A$6:$A$80,0)),"")</f>
        <v>Programy zmiany nawyków (treści)</v>
      </c>
      <c r="N224" s="26" t="str">
        <f aca="false">IFERROR(INDEX(W1_WYBOR!$F$6:$F$80,MATCH($L224,W1_WYBOR!$A$6:$A$80,0)),"")</f>
        <v>WŁASNE TREŚCI zatwierdzone przez specjalistę</v>
      </c>
      <c r="O224" s="28" t="str">
        <f aca="false">IFERROR(INDEX(W1_WYBOR!$L$6:$L$80,MATCH($L224,W1_WYBOR!$A$6:$A$80,0)),"")</f>
        <v>Własna biblioteka treści zatwierdzona przez psychologa</v>
      </c>
      <c r="P224" s="28" t="str">
        <f aca="false">IFERROR(INDEX(W1_WYBOR!$M$6:$M$80,MATCH($L224,W1_WYBOR!$A$6:$A$80,0)),"")</f>
        <v>+ partnerzy specjalistów</v>
      </c>
      <c r="Q224" s="27" t="str">
        <f aca="false">IFERROR(INDEX(W1_WYBOR!$P$6:$P$80,MATCH($L224,W1_WYBOR!$A$6:$A$80,0)),"")</f>
        <v>BEZ ZMIAN</v>
      </c>
      <c r="R224" s="26"/>
      <c r="S224" s="26" t="str">
        <f aca="false">IFERROR(INDEX(W1_WYBOR!$V$6:$V$80,MATCH($L224,W1_WYBOR!$A$6:$A$80,0)),"")</f>
        <v>Brak</v>
      </c>
    </row>
    <row r="225" customFormat="false" ht="25.5" hidden="false" customHeight="true" outlineLevel="0" collapsed="false">
      <c r="A225" s="24" t="s">
        <v>2009</v>
      </c>
      <c r="B225" s="26" t="s">
        <v>2010</v>
      </c>
      <c r="C225" s="26" t="s">
        <v>1967</v>
      </c>
      <c r="D225" s="26" t="s">
        <v>1985</v>
      </c>
      <c r="E225" s="27" t="s">
        <v>1720</v>
      </c>
      <c r="F225" s="27" t="s">
        <v>1721</v>
      </c>
      <c r="G225" s="27" t="n">
        <v>40</v>
      </c>
      <c r="H225" s="26" t="s">
        <v>1969</v>
      </c>
      <c r="I225" s="27" t="s">
        <v>1309</v>
      </c>
      <c r="J225" s="26" t="s">
        <v>1121</v>
      </c>
      <c r="K225" s="26" t="s">
        <v>151</v>
      </c>
      <c r="L225" s="24" t="s">
        <v>1119</v>
      </c>
      <c r="M225" s="26" t="str">
        <f aca="false">IFERROR(INDEX(W1_WYBOR!$B$6:$B$80,MATCH($L225,W1_WYBOR!$A$6:$A$80,0)),"")</f>
        <v>Funkcja własna na wspólnych komponentach (W2)</v>
      </c>
      <c r="N225" s="26" t="str">
        <f aca="false">IFERROR(INDEX(W1_WYBOR!$F$6:$F$80,MATCH($L225,W1_WYBOR!$A$6:$A$80,0)),"")</f>
        <v>WŁASNE na komponentach z W2</v>
      </c>
      <c r="O225" s="28" t="str">
        <f aca="false">IFERROR(INDEX(W1_WYBOR!$L$6:$L$80,MATCH($L225,W1_WYBOR!$A$6:$A$80,0)),"")</f>
        <v>Budujemy w aplikacji Eternal na komponentach W2</v>
      </c>
      <c r="P225" s="28" t="str">
        <f aca="false">IFERROR(INDEX(W1_WYBOR!$M$6:$M$80,MATCH($L225,W1_WYBOR!$A$6:$A$80,0)),"")</f>
        <v>Jak MVP</v>
      </c>
      <c r="Q225" s="27" t="str">
        <f aca="false">IFERROR(INDEX(W1_WYBOR!$P$6:$P$80,MATCH($L225,W1_WYBOR!$A$6:$A$80,0)),"")</f>
        <v>BEZ ZMIAN</v>
      </c>
      <c r="R225" s="26"/>
      <c r="S225" s="26" t="str">
        <f aca="false">IFERROR(INDEX(W1_WYBOR!$V$6:$V$80,MATCH($L225,W1_WYBOR!$A$6:$A$80,0)),"")</f>
        <v>Zob. kolumna uwag w W3</v>
      </c>
    </row>
    <row r="226" customFormat="false" ht="37.5" hidden="false" customHeight="true" outlineLevel="0" collapsed="false">
      <c r="A226" s="24" t="s">
        <v>2011</v>
      </c>
      <c r="B226" s="26" t="s">
        <v>2012</v>
      </c>
      <c r="C226" s="26" t="s">
        <v>1967</v>
      </c>
      <c r="D226" s="26" t="s">
        <v>1985</v>
      </c>
      <c r="E226" s="27" t="s">
        <v>1720</v>
      </c>
      <c r="F226" s="27" t="s">
        <v>1721</v>
      </c>
      <c r="G226" s="27" t="n">
        <v>40</v>
      </c>
      <c r="H226" s="26" t="s">
        <v>1969</v>
      </c>
      <c r="I226" s="27" t="s">
        <v>1309</v>
      </c>
      <c r="J226" s="26" t="s">
        <v>1027</v>
      </c>
      <c r="K226" s="26" t="s">
        <v>2013</v>
      </c>
      <c r="L226" s="24" t="s">
        <v>1025</v>
      </c>
      <c r="M226" s="26" t="str">
        <f aca="false">IFERROR(INDEX(W1_WYBOR!$B$6:$B$80,MATCH($L226,W1_WYBOR!$A$6:$A$80,0)),"")</f>
        <v>Sprzedaż treści (e-booki, kursy)</v>
      </c>
      <c r="N226" s="26" t="str">
        <f aca="false">IFERROR(INDEX(W1_WYBOR!$F$6:$F$80,MATCH($L226,W1_WYBOR!$A$6:$A$80,0)),"")</f>
        <v>WŁASNY SILNIK SPRZEDAŻY</v>
      </c>
      <c r="O226" s="28" t="str">
        <f aca="false">IFERROR(INDEX(W1_WYBOR!$L$6:$L$80,MATCH($L226,W1_WYBOR!$A$6:$A$80,0)),"")</f>
        <v>Wspólny silnik sprzedaży (marketplace) z biblioteką własną</v>
      </c>
      <c r="P226" s="28" t="str">
        <f aca="false">IFERROR(INDEX(W1_WYBOR!$M$6:$M$80,MATCH($L226,W1_WYBOR!$A$6:$A$80,0)),"")</f>
        <v>Jak MVP</v>
      </c>
      <c r="Q226" s="27" t="str">
        <f aca="false">IFERROR(INDEX(W1_WYBOR!$P$6:$P$80,MATCH($L226,W1_WYBOR!$A$6:$A$80,0)),"")</f>
        <v>BEZ ZMIAN</v>
      </c>
      <c r="R226" s="26"/>
      <c r="S226" s="26" t="str">
        <f aca="false">IFERROR(INDEX(W1_WYBOR!$V$6:$V$80,MATCH($L226,W1_WYBOR!$A$6:$A$80,0)),"")</f>
        <v>Brak</v>
      </c>
    </row>
    <row r="227" customFormat="false" ht="25.5" hidden="false" customHeight="true" outlineLevel="0" collapsed="false">
      <c r="A227" s="24" t="s">
        <v>2014</v>
      </c>
      <c r="B227" s="26" t="s">
        <v>2015</v>
      </c>
      <c r="C227" s="26" t="s">
        <v>1967</v>
      </c>
      <c r="D227" s="26" t="s">
        <v>1985</v>
      </c>
      <c r="E227" s="27" t="s">
        <v>1720</v>
      </c>
      <c r="F227" s="27" t="s">
        <v>1721</v>
      </c>
      <c r="G227" s="27" t="n">
        <v>40</v>
      </c>
      <c r="H227" s="26" t="s">
        <v>1969</v>
      </c>
      <c r="I227" s="27" t="s">
        <v>2016</v>
      </c>
      <c r="J227" s="26" t="s">
        <v>1121</v>
      </c>
      <c r="K227" s="26" t="s">
        <v>151</v>
      </c>
      <c r="L227" s="24" t="s">
        <v>1119</v>
      </c>
      <c r="M227" s="26" t="str">
        <f aca="false">IFERROR(INDEX(W1_WYBOR!$B$6:$B$80,MATCH($L227,W1_WYBOR!$A$6:$A$80,0)),"")</f>
        <v>Funkcja własna na wspólnych komponentach (W2)</v>
      </c>
      <c r="N227" s="26" t="str">
        <f aca="false">IFERROR(INDEX(W1_WYBOR!$F$6:$F$80,MATCH($L227,W1_WYBOR!$A$6:$A$80,0)),"")</f>
        <v>WŁASNE na komponentach z W2</v>
      </c>
      <c r="O227" s="28" t="str">
        <f aca="false">IFERROR(INDEX(W1_WYBOR!$L$6:$L$80,MATCH($L227,W1_WYBOR!$A$6:$A$80,0)),"")</f>
        <v>Budujemy w aplikacji Eternal na komponentach W2</v>
      </c>
      <c r="P227" s="28" t="str">
        <f aca="false">IFERROR(INDEX(W1_WYBOR!$M$6:$M$80,MATCH($L227,W1_WYBOR!$A$6:$A$80,0)),"")</f>
        <v>Jak MVP</v>
      </c>
      <c r="Q227" s="27" t="str">
        <f aca="false">IFERROR(INDEX(W1_WYBOR!$P$6:$P$80,MATCH($L227,W1_WYBOR!$A$6:$A$80,0)),"")</f>
        <v>BEZ ZMIAN</v>
      </c>
      <c r="R227" s="26"/>
      <c r="S227" s="26" t="str">
        <f aca="false">IFERROR(INDEX(W1_WYBOR!$V$6:$V$80,MATCH($L227,W1_WYBOR!$A$6:$A$80,0)),"")</f>
        <v>Zob. kolumna uwag w W3</v>
      </c>
    </row>
    <row r="228" customFormat="false" ht="25.5" hidden="false" customHeight="true" outlineLevel="0" collapsed="false">
      <c r="A228" s="24" t="s">
        <v>2017</v>
      </c>
      <c r="B228" s="26" t="s">
        <v>2018</v>
      </c>
      <c r="C228" s="26" t="s">
        <v>1967</v>
      </c>
      <c r="D228" s="26" t="s">
        <v>1985</v>
      </c>
      <c r="E228" s="27" t="s">
        <v>1720</v>
      </c>
      <c r="F228" s="27" t="s">
        <v>1721</v>
      </c>
      <c r="G228" s="27" t="n">
        <v>40</v>
      </c>
      <c r="H228" s="26" t="s">
        <v>1969</v>
      </c>
      <c r="I228" s="27" t="s">
        <v>1309</v>
      </c>
      <c r="J228" s="26" t="s">
        <v>1039</v>
      </c>
      <c r="K228" s="26" t="s">
        <v>2019</v>
      </c>
      <c r="L228" s="24" t="s">
        <v>1037</v>
      </c>
      <c r="M228" s="26" t="str">
        <f aca="false">IFERROR(INDEX(W1_WYBOR!$B$6:$B$80,MATCH($L228,W1_WYBOR!$A$6:$A$80,0)),"")</f>
        <v>Wydarzenia lokalne</v>
      </c>
      <c r="N228" s="26" t="str">
        <f aca="false">IFERROR(INDEX(W1_WYBOR!$F$6:$F$80,MATCH($L228,W1_WYBOR!$A$6:$A$80,0)),"")</f>
        <v>WŁASNE</v>
      </c>
      <c r="O228" s="28" t="str">
        <f aca="false">IFERROR(INDEX(W1_WYBOR!$L$6:$L$80,MATCH($L228,W1_WYBOR!$A$6:$A$80,0)),"")</f>
        <v>Kalendarz własny z zapisami</v>
      </c>
      <c r="P228" s="28" t="str">
        <f aca="false">IFERROR(INDEX(W1_WYBOR!$M$6:$M$80,MATCH($L228,W1_WYBOR!$A$6:$A$80,0)),"")</f>
        <v>Jak MVP</v>
      </c>
      <c r="Q228" s="27" t="str">
        <f aca="false">IFERROR(INDEX(W1_WYBOR!$P$6:$P$80,MATCH($L228,W1_WYBOR!$A$6:$A$80,0)),"")</f>
        <v>BEZ ZMIAN</v>
      </c>
      <c r="R228" s="26"/>
      <c r="S228" s="26" t="str">
        <f aca="false">IFERROR(INDEX(W1_WYBOR!$V$6:$V$80,MATCH($L228,W1_WYBOR!$A$6:$A$80,0)),"")</f>
        <v>Eksport ICS gotowy</v>
      </c>
    </row>
    <row r="229" customFormat="false" ht="25.5" hidden="false" customHeight="true" outlineLevel="0" collapsed="false">
      <c r="A229" s="24" t="s">
        <v>2020</v>
      </c>
      <c r="B229" s="26" t="s">
        <v>2021</v>
      </c>
      <c r="C229" s="26" t="s">
        <v>1967</v>
      </c>
      <c r="D229" s="26" t="s">
        <v>1985</v>
      </c>
      <c r="E229" s="27" t="s">
        <v>1720</v>
      </c>
      <c r="F229" s="27" t="s">
        <v>1721</v>
      </c>
      <c r="G229" s="27" t="n">
        <v>40</v>
      </c>
      <c r="H229" s="26" t="s">
        <v>1969</v>
      </c>
      <c r="I229" s="27" t="s">
        <v>1990</v>
      </c>
      <c r="J229" s="26" t="s">
        <v>1121</v>
      </c>
      <c r="K229" s="26" t="s">
        <v>151</v>
      </c>
      <c r="L229" s="24" t="s">
        <v>1119</v>
      </c>
      <c r="M229" s="26" t="str">
        <f aca="false">IFERROR(INDEX(W1_WYBOR!$B$6:$B$80,MATCH($L229,W1_WYBOR!$A$6:$A$80,0)),"")</f>
        <v>Funkcja własna na wspólnych komponentach (W2)</v>
      </c>
      <c r="N229" s="26" t="str">
        <f aca="false">IFERROR(INDEX(W1_WYBOR!$F$6:$F$80,MATCH($L229,W1_WYBOR!$A$6:$A$80,0)),"")</f>
        <v>WŁASNE na komponentach z W2</v>
      </c>
      <c r="O229" s="28" t="str">
        <f aca="false">IFERROR(INDEX(W1_WYBOR!$L$6:$L$80,MATCH($L229,W1_WYBOR!$A$6:$A$80,0)),"")</f>
        <v>Budujemy w aplikacji Eternal na komponentach W2</v>
      </c>
      <c r="P229" s="28" t="str">
        <f aca="false">IFERROR(INDEX(W1_WYBOR!$M$6:$M$80,MATCH($L229,W1_WYBOR!$A$6:$A$80,0)),"")</f>
        <v>Jak MVP</v>
      </c>
      <c r="Q229" s="27" t="str">
        <f aca="false">IFERROR(INDEX(W1_WYBOR!$P$6:$P$80,MATCH($L229,W1_WYBOR!$A$6:$A$80,0)),"")</f>
        <v>BEZ ZMIAN</v>
      </c>
      <c r="R229" s="26" t="s">
        <v>2022</v>
      </c>
      <c r="S229" s="26" t="str">
        <f aca="false">IFERROR(INDEX(W1_WYBOR!$V$6:$V$80,MATCH($L229,W1_WYBOR!$A$6:$A$80,0)),"")</f>
        <v>Zob. kolumna uwag w W3</v>
      </c>
    </row>
    <row r="230" customFormat="false" ht="25.5" hidden="false" customHeight="true" outlineLevel="0" collapsed="false">
      <c r="A230" s="24" t="s">
        <v>2023</v>
      </c>
      <c r="B230" s="26" t="s">
        <v>2024</v>
      </c>
      <c r="C230" s="26" t="s">
        <v>2025</v>
      </c>
      <c r="D230" s="26" t="s">
        <v>2026</v>
      </c>
      <c r="E230" s="27" t="s">
        <v>1720</v>
      </c>
      <c r="F230" s="27" t="s">
        <v>1721</v>
      </c>
      <c r="G230" s="27" t="n">
        <v>43</v>
      </c>
      <c r="H230" s="26" t="s">
        <v>2027</v>
      </c>
      <c r="I230" s="27" t="s">
        <v>1309</v>
      </c>
      <c r="J230" s="26" t="s">
        <v>832</v>
      </c>
      <c r="K230" s="26" t="s">
        <v>836</v>
      </c>
      <c r="L230" s="24" t="s">
        <v>830</v>
      </c>
      <c r="M230" s="26" t="str">
        <f aca="false">IFERROR(INDEX(W1_WYBOR!$B$6:$B$80,MATCH($L230,W1_WYBOR!$A$6:$A$80,0)),"")</f>
        <v>Katalogi technologii</v>
      </c>
      <c r="N230" s="26" t="str">
        <f aca="false">IFERROR(INDEX(W1_WYBOR!$F$6:$F$80,MATCH($L230,W1_WYBOR!$A$6:$A$80,0)),"")</f>
        <v>DANE PUBLICZNE</v>
      </c>
      <c r="O230" s="28" t="str">
        <f aca="false">IFERROR(INDEX(W1_WYBOR!$L$6:$L$80,MATCH($L230,W1_WYBOR!$A$6:$A$80,0)),"")</f>
        <v>Enterprise Europe Network</v>
      </c>
      <c r="P230" s="28" t="str">
        <f aca="false">IFERROR(INDEX(W1_WYBOR!$M$6:$M$80,MATCH($L230,W1_WYBOR!$A$6:$A$80,0)),"")</f>
        <v>Jak MVP</v>
      </c>
      <c r="Q230" s="27" t="str">
        <f aca="false">IFERROR(INDEX(W1_WYBOR!$P$6:$P$80,MATCH($L230,W1_WYBOR!$A$6:$A$80,0)),"")</f>
        <v>BEZ ZMIAN</v>
      </c>
      <c r="R230" s="26"/>
      <c r="S230" s="26" t="str">
        <f aca="false">IFERROR(INDEX(W1_WYBOR!$V$6:$V$80,MATCH($L230,W1_WYBOR!$A$6:$A$80,0)),"")</f>
        <v>Brak</v>
      </c>
    </row>
    <row r="231" customFormat="false" ht="25.5" hidden="false" customHeight="true" outlineLevel="0" collapsed="false">
      <c r="A231" s="24" t="s">
        <v>2028</v>
      </c>
      <c r="B231" s="26" t="s">
        <v>2029</v>
      </c>
      <c r="C231" s="26" t="s">
        <v>2025</v>
      </c>
      <c r="D231" s="26" t="s">
        <v>2026</v>
      </c>
      <c r="E231" s="27" t="s">
        <v>1720</v>
      </c>
      <c r="F231" s="27" t="s">
        <v>1721</v>
      </c>
      <c r="G231" s="27" t="n">
        <v>43</v>
      </c>
      <c r="H231" s="26" t="s">
        <v>2027</v>
      </c>
      <c r="I231" s="27" t="s">
        <v>1309</v>
      </c>
      <c r="J231" s="26" t="s">
        <v>1121</v>
      </c>
      <c r="K231" s="26" t="s">
        <v>151</v>
      </c>
      <c r="L231" s="24" t="s">
        <v>1119</v>
      </c>
      <c r="M231" s="26" t="str">
        <f aca="false">IFERROR(INDEX(W1_WYBOR!$B$6:$B$80,MATCH($L231,W1_WYBOR!$A$6:$A$80,0)),"")</f>
        <v>Funkcja własna na wspólnych komponentach (W2)</v>
      </c>
      <c r="N231" s="26" t="str">
        <f aca="false">IFERROR(INDEX(W1_WYBOR!$F$6:$F$80,MATCH($L231,W1_WYBOR!$A$6:$A$80,0)),"")</f>
        <v>WŁASNE na komponentach z W2</v>
      </c>
      <c r="O231" s="28" t="str">
        <f aca="false">IFERROR(INDEX(W1_WYBOR!$L$6:$L$80,MATCH($L231,W1_WYBOR!$A$6:$A$80,0)),"")</f>
        <v>Budujemy w aplikacji Eternal na komponentach W2</v>
      </c>
      <c r="P231" s="28" t="str">
        <f aca="false">IFERROR(INDEX(W1_WYBOR!$M$6:$M$80,MATCH($L231,W1_WYBOR!$A$6:$A$80,0)),"")</f>
        <v>Jak MVP</v>
      </c>
      <c r="Q231" s="27" t="str">
        <f aca="false">IFERROR(INDEX(W1_WYBOR!$P$6:$P$80,MATCH($L231,W1_WYBOR!$A$6:$A$80,0)),"")</f>
        <v>BEZ ZMIAN</v>
      </c>
      <c r="R231" s="26"/>
      <c r="S231" s="26" t="str">
        <f aca="false">IFERROR(INDEX(W1_WYBOR!$V$6:$V$80,MATCH($L231,W1_WYBOR!$A$6:$A$80,0)),"")</f>
        <v>Zob. kolumna uwag w W3</v>
      </c>
    </row>
    <row r="232" customFormat="false" ht="25.5" hidden="false" customHeight="true" outlineLevel="0" collapsed="false">
      <c r="A232" s="24" t="s">
        <v>2030</v>
      </c>
      <c r="B232" s="26" t="s">
        <v>2031</v>
      </c>
      <c r="C232" s="26" t="s">
        <v>2025</v>
      </c>
      <c r="D232" s="26" t="s">
        <v>2026</v>
      </c>
      <c r="E232" s="27" t="s">
        <v>1720</v>
      </c>
      <c r="F232" s="27" t="s">
        <v>1721</v>
      </c>
      <c r="G232" s="27" t="n">
        <v>43</v>
      </c>
      <c r="H232" s="26" t="s">
        <v>2027</v>
      </c>
      <c r="I232" s="27" t="s">
        <v>1309</v>
      </c>
      <c r="J232" s="26" t="s">
        <v>1121</v>
      </c>
      <c r="K232" s="26" t="s">
        <v>151</v>
      </c>
      <c r="L232" s="24" t="s">
        <v>1119</v>
      </c>
      <c r="M232" s="26" t="str">
        <f aca="false">IFERROR(INDEX(W1_WYBOR!$B$6:$B$80,MATCH($L232,W1_WYBOR!$A$6:$A$80,0)),"")</f>
        <v>Funkcja własna na wspólnych komponentach (W2)</v>
      </c>
      <c r="N232" s="26" t="str">
        <f aca="false">IFERROR(INDEX(W1_WYBOR!$F$6:$F$80,MATCH($L232,W1_WYBOR!$A$6:$A$80,0)),"")</f>
        <v>WŁASNE na komponentach z W2</v>
      </c>
      <c r="O232" s="28" t="str">
        <f aca="false">IFERROR(INDEX(W1_WYBOR!$L$6:$L$80,MATCH($L232,W1_WYBOR!$A$6:$A$80,0)),"")</f>
        <v>Budujemy w aplikacji Eternal na komponentach W2</v>
      </c>
      <c r="P232" s="28" t="str">
        <f aca="false">IFERROR(INDEX(W1_WYBOR!$M$6:$M$80,MATCH($L232,W1_WYBOR!$A$6:$A$80,0)),"")</f>
        <v>Jak MVP</v>
      </c>
      <c r="Q232" s="27" t="str">
        <f aca="false">IFERROR(INDEX(W1_WYBOR!$P$6:$P$80,MATCH($L232,W1_WYBOR!$A$6:$A$80,0)),"")</f>
        <v>BEZ ZMIAN</v>
      </c>
      <c r="R232" s="26"/>
      <c r="S232" s="26" t="str">
        <f aca="false">IFERROR(INDEX(W1_WYBOR!$V$6:$V$80,MATCH($L232,W1_WYBOR!$A$6:$A$80,0)),"")</f>
        <v>Zob. kolumna uwag w W3</v>
      </c>
    </row>
    <row r="233" customFormat="false" ht="25.5" hidden="false" customHeight="true" outlineLevel="0" collapsed="false">
      <c r="A233" s="24" t="s">
        <v>2032</v>
      </c>
      <c r="B233" s="26" t="s">
        <v>2033</v>
      </c>
      <c r="C233" s="26" t="s">
        <v>2025</v>
      </c>
      <c r="D233" s="26" t="s">
        <v>2026</v>
      </c>
      <c r="E233" s="27" t="s">
        <v>1720</v>
      </c>
      <c r="F233" s="27" t="s">
        <v>1721</v>
      </c>
      <c r="G233" s="27" t="n">
        <v>43</v>
      </c>
      <c r="H233" s="26" t="s">
        <v>2027</v>
      </c>
      <c r="I233" s="27" t="s">
        <v>1309</v>
      </c>
      <c r="J233" s="26" t="s">
        <v>1121</v>
      </c>
      <c r="K233" s="26" t="s">
        <v>151</v>
      </c>
      <c r="L233" s="24" t="s">
        <v>1119</v>
      </c>
      <c r="M233" s="26" t="str">
        <f aca="false">IFERROR(INDEX(W1_WYBOR!$B$6:$B$80,MATCH($L233,W1_WYBOR!$A$6:$A$80,0)),"")</f>
        <v>Funkcja własna na wspólnych komponentach (W2)</v>
      </c>
      <c r="N233" s="26" t="str">
        <f aca="false">IFERROR(INDEX(W1_WYBOR!$F$6:$F$80,MATCH($L233,W1_WYBOR!$A$6:$A$80,0)),"")</f>
        <v>WŁASNE na komponentach z W2</v>
      </c>
      <c r="O233" s="28" t="str">
        <f aca="false">IFERROR(INDEX(W1_WYBOR!$L$6:$L$80,MATCH($L233,W1_WYBOR!$A$6:$A$80,0)),"")</f>
        <v>Budujemy w aplikacji Eternal na komponentach W2</v>
      </c>
      <c r="P233" s="28" t="str">
        <f aca="false">IFERROR(INDEX(W1_WYBOR!$M$6:$M$80,MATCH($L233,W1_WYBOR!$A$6:$A$80,0)),"")</f>
        <v>Jak MVP</v>
      </c>
      <c r="Q233" s="27" t="str">
        <f aca="false">IFERROR(INDEX(W1_WYBOR!$P$6:$P$80,MATCH($L233,W1_WYBOR!$A$6:$A$80,0)),"")</f>
        <v>BEZ ZMIAN</v>
      </c>
      <c r="R233" s="26"/>
      <c r="S233" s="26" t="str">
        <f aca="false">IFERROR(INDEX(W1_WYBOR!$V$6:$V$80,MATCH($L233,W1_WYBOR!$A$6:$A$80,0)),"")</f>
        <v>Zob. kolumna uwag w W3</v>
      </c>
    </row>
    <row r="234" customFormat="false" ht="37.5" hidden="false" customHeight="true" outlineLevel="0" collapsed="false">
      <c r="A234" s="24" t="s">
        <v>2034</v>
      </c>
      <c r="B234" s="26" t="s">
        <v>2035</v>
      </c>
      <c r="C234" s="26" t="s">
        <v>1304</v>
      </c>
      <c r="D234" s="26" t="s">
        <v>2036</v>
      </c>
      <c r="E234" s="27" t="s">
        <v>2037</v>
      </c>
      <c r="F234" s="27" t="s">
        <v>2038</v>
      </c>
      <c r="G234" s="27" t="n">
        <v>45</v>
      </c>
      <c r="H234" s="26" t="s">
        <v>1066</v>
      </c>
      <c r="I234" s="27" t="s">
        <v>1309</v>
      </c>
      <c r="J234" s="26" t="s">
        <v>2039</v>
      </c>
      <c r="K234" s="26" t="s">
        <v>2040</v>
      </c>
      <c r="L234" s="24" t="s">
        <v>1065</v>
      </c>
      <c r="M234" s="26" t="str">
        <f aca="false">IFERROR(INDEX(W1_WYBOR!$B$6:$B$80,MATCH($L234,W1_WYBOR!$A$6:$A$80,0)),"")</f>
        <v>Zdrowie zwierząt (Pet)</v>
      </c>
      <c r="N234" s="26" t="str">
        <f aca="false">IFERROR(INDEX(W1_WYBOR!$F$6:$F$80,MATCH($L234,W1_WYBOR!$A$6:$A$80,0)),"")</f>
        <v>POŚREDNICTWO PARTNERÓW</v>
      </c>
      <c r="O234" s="28" t="str">
        <f aca="false">IFERROR(INDEX(W1_WYBOR!$L$6:$L$80,MATCH($L234,W1_WYBOR!$A$6:$A$80,0)),"")</f>
        <v>Partnerzy z pliku (2029–2030)</v>
      </c>
      <c r="P234" s="28" t="str">
        <f aca="false">IFERROR(INDEX(W1_WYBOR!$M$6:$M$80,MATCH($L234,W1_WYBOR!$A$6:$A$80,0)),"")</f>
        <v>—</v>
      </c>
      <c r="Q234" s="27" t="str">
        <f aca="false">IFERROR(INDEX(W1_WYBOR!$P$6:$P$80,MATCH($L234,W1_WYBOR!$A$6:$A$80,0)),"")</f>
        <v>BEZ ZMIAN</v>
      </c>
      <c r="R234" s="26"/>
      <c r="S234" s="26" t="str">
        <f aca="false">IFERROR(INDEX(W1_WYBOR!$V$6:$V$80,MATCH($L234,W1_WYBOR!$A$6:$A$80,0)),"")</f>
        <v>Brak</v>
      </c>
    </row>
    <row r="235" customFormat="false" ht="14.25" hidden="false" customHeight="true" outlineLevel="0" collapsed="false">
      <c r="A235" s="24" t="s">
        <v>2041</v>
      </c>
      <c r="B235" s="26" t="s">
        <v>2042</v>
      </c>
      <c r="C235" s="26" t="s">
        <v>1304</v>
      </c>
      <c r="D235" s="26" t="s">
        <v>2036</v>
      </c>
      <c r="E235" s="27" t="s">
        <v>2037</v>
      </c>
      <c r="F235" s="27" t="s">
        <v>2038</v>
      </c>
      <c r="G235" s="27" t="n">
        <v>45</v>
      </c>
      <c r="H235" s="26" t="s">
        <v>1066</v>
      </c>
      <c r="I235" s="27" t="s">
        <v>1309</v>
      </c>
      <c r="J235" s="26" t="s">
        <v>2043</v>
      </c>
      <c r="K235" s="26" t="s">
        <v>2044</v>
      </c>
      <c r="L235" s="24" t="s">
        <v>1065</v>
      </c>
      <c r="M235" s="26" t="str">
        <f aca="false">IFERROR(INDEX(W1_WYBOR!$B$6:$B$80,MATCH($L235,W1_WYBOR!$A$6:$A$80,0)),"")</f>
        <v>Zdrowie zwierząt (Pet)</v>
      </c>
      <c r="N235" s="26" t="str">
        <f aca="false">IFERROR(INDEX(W1_WYBOR!$F$6:$F$80,MATCH($L235,W1_WYBOR!$A$6:$A$80,0)),"")</f>
        <v>POŚREDNICTWO PARTNERÓW</v>
      </c>
      <c r="O235" s="28" t="str">
        <f aca="false">IFERROR(INDEX(W1_WYBOR!$L$6:$L$80,MATCH($L235,W1_WYBOR!$A$6:$A$80,0)),"")</f>
        <v>Partnerzy z pliku (2029–2030)</v>
      </c>
      <c r="P235" s="28" t="str">
        <f aca="false">IFERROR(INDEX(W1_WYBOR!$M$6:$M$80,MATCH($L235,W1_WYBOR!$A$6:$A$80,0)),"")</f>
        <v>—</v>
      </c>
      <c r="Q235" s="27" t="str">
        <f aca="false">IFERROR(INDEX(W1_WYBOR!$P$6:$P$80,MATCH($L235,W1_WYBOR!$A$6:$A$80,0)),"")</f>
        <v>BEZ ZMIAN</v>
      </c>
      <c r="R235" s="26"/>
      <c r="S235" s="26" t="str">
        <f aca="false">IFERROR(INDEX(W1_WYBOR!$V$6:$V$80,MATCH($L235,W1_WYBOR!$A$6:$A$80,0)),"")</f>
        <v>Brak</v>
      </c>
    </row>
    <row r="236" customFormat="false" ht="25.5" hidden="false" customHeight="true" outlineLevel="0" collapsed="false">
      <c r="A236" s="24" t="s">
        <v>2045</v>
      </c>
      <c r="B236" s="26" t="s">
        <v>2046</v>
      </c>
      <c r="C236" s="26" t="s">
        <v>1304</v>
      </c>
      <c r="D236" s="26" t="s">
        <v>2036</v>
      </c>
      <c r="E236" s="27" t="s">
        <v>2037</v>
      </c>
      <c r="F236" s="27" t="s">
        <v>2038</v>
      </c>
      <c r="G236" s="27" t="n">
        <v>45</v>
      </c>
      <c r="H236" s="26" t="s">
        <v>1066</v>
      </c>
      <c r="I236" s="27" t="s">
        <v>1309</v>
      </c>
      <c r="J236" s="26" t="s">
        <v>2047</v>
      </c>
      <c r="K236" s="26" t="s">
        <v>2048</v>
      </c>
      <c r="L236" s="24" t="s">
        <v>1065</v>
      </c>
      <c r="M236" s="26" t="str">
        <f aca="false">IFERROR(INDEX(W1_WYBOR!$B$6:$B$80,MATCH($L236,W1_WYBOR!$A$6:$A$80,0)),"")</f>
        <v>Zdrowie zwierząt (Pet)</v>
      </c>
      <c r="N236" s="26" t="str">
        <f aca="false">IFERROR(INDEX(W1_WYBOR!$F$6:$F$80,MATCH($L236,W1_WYBOR!$A$6:$A$80,0)),"")</f>
        <v>POŚREDNICTWO PARTNERÓW</v>
      </c>
      <c r="O236" s="28" t="str">
        <f aca="false">IFERROR(INDEX(W1_WYBOR!$L$6:$L$80,MATCH($L236,W1_WYBOR!$A$6:$A$80,0)),"")</f>
        <v>Partnerzy z pliku (2029–2030)</v>
      </c>
      <c r="P236" s="28" t="str">
        <f aca="false">IFERROR(INDEX(W1_WYBOR!$M$6:$M$80,MATCH($L236,W1_WYBOR!$A$6:$A$80,0)),"")</f>
        <v>—</v>
      </c>
      <c r="Q236" s="27" t="str">
        <f aca="false">IFERROR(INDEX(W1_WYBOR!$P$6:$P$80,MATCH($L236,W1_WYBOR!$A$6:$A$80,0)),"")</f>
        <v>BEZ ZMIAN</v>
      </c>
      <c r="R236" s="26"/>
      <c r="S236" s="26" t="str">
        <f aca="false">IFERROR(INDEX(W1_WYBOR!$V$6:$V$80,MATCH($L236,W1_WYBOR!$A$6:$A$80,0)),"")</f>
        <v>Brak</v>
      </c>
    </row>
    <row r="237" customFormat="false" ht="25.5" hidden="false" customHeight="true" outlineLevel="0" collapsed="false">
      <c r="A237" s="24" t="s">
        <v>2049</v>
      </c>
      <c r="B237" s="26" t="s">
        <v>2050</v>
      </c>
      <c r="C237" s="26" t="s">
        <v>1304</v>
      </c>
      <c r="D237" s="26" t="s">
        <v>2036</v>
      </c>
      <c r="E237" s="27" t="s">
        <v>2037</v>
      </c>
      <c r="F237" s="27" t="s">
        <v>2038</v>
      </c>
      <c r="G237" s="27" t="n">
        <v>45</v>
      </c>
      <c r="H237" s="26" t="s">
        <v>1066</v>
      </c>
      <c r="I237" s="27" t="s">
        <v>1309</v>
      </c>
      <c r="J237" s="26" t="s">
        <v>2051</v>
      </c>
      <c r="K237" s="26" t="s">
        <v>2052</v>
      </c>
      <c r="L237" s="24" t="s">
        <v>1065</v>
      </c>
      <c r="M237" s="26" t="str">
        <f aca="false">IFERROR(INDEX(W1_WYBOR!$B$6:$B$80,MATCH($L237,W1_WYBOR!$A$6:$A$80,0)),"")</f>
        <v>Zdrowie zwierząt (Pet)</v>
      </c>
      <c r="N237" s="26" t="str">
        <f aca="false">IFERROR(INDEX(W1_WYBOR!$F$6:$F$80,MATCH($L237,W1_WYBOR!$A$6:$A$80,0)),"")</f>
        <v>POŚREDNICTWO PARTNERÓW</v>
      </c>
      <c r="O237" s="28" t="str">
        <f aca="false">IFERROR(INDEX(W1_WYBOR!$L$6:$L$80,MATCH($L237,W1_WYBOR!$A$6:$A$80,0)),"")</f>
        <v>Partnerzy z pliku (2029–2030)</v>
      </c>
      <c r="P237" s="28" t="str">
        <f aca="false">IFERROR(INDEX(W1_WYBOR!$M$6:$M$80,MATCH($L237,W1_WYBOR!$A$6:$A$80,0)),"")</f>
        <v>—</v>
      </c>
      <c r="Q237" s="27" t="str">
        <f aca="false">IFERROR(INDEX(W1_WYBOR!$P$6:$P$80,MATCH($L237,W1_WYBOR!$A$6:$A$80,0)),"")</f>
        <v>BEZ ZMIAN</v>
      </c>
      <c r="R237" s="26"/>
      <c r="S237" s="26" t="str">
        <f aca="false">IFERROR(INDEX(W1_WYBOR!$V$6:$V$80,MATCH($L237,W1_WYBOR!$A$6:$A$80,0)),"")</f>
        <v>Brak</v>
      </c>
    </row>
    <row r="238" customFormat="false" ht="25.5" hidden="false" customHeight="true" outlineLevel="0" collapsed="false">
      <c r="A238" s="24" t="s">
        <v>2053</v>
      </c>
      <c r="B238" s="26" t="s">
        <v>2054</v>
      </c>
      <c r="C238" s="26" t="s">
        <v>1304</v>
      </c>
      <c r="D238" s="26" t="s">
        <v>2036</v>
      </c>
      <c r="E238" s="27" t="s">
        <v>2037</v>
      </c>
      <c r="F238" s="27" t="s">
        <v>2038</v>
      </c>
      <c r="G238" s="27" t="n">
        <v>45</v>
      </c>
      <c r="H238" s="26" t="s">
        <v>1066</v>
      </c>
      <c r="I238" s="27" t="s">
        <v>1309</v>
      </c>
      <c r="J238" s="26" t="s">
        <v>2055</v>
      </c>
      <c r="K238" s="26" t="s">
        <v>2056</v>
      </c>
      <c r="L238" s="24" t="s">
        <v>1065</v>
      </c>
      <c r="M238" s="26" t="str">
        <f aca="false">IFERROR(INDEX(W1_WYBOR!$B$6:$B$80,MATCH($L238,W1_WYBOR!$A$6:$A$80,0)),"")</f>
        <v>Zdrowie zwierząt (Pet)</v>
      </c>
      <c r="N238" s="26" t="str">
        <f aca="false">IFERROR(INDEX(W1_WYBOR!$F$6:$F$80,MATCH($L238,W1_WYBOR!$A$6:$A$80,0)),"")</f>
        <v>POŚREDNICTWO PARTNERÓW</v>
      </c>
      <c r="O238" s="28" t="str">
        <f aca="false">IFERROR(INDEX(W1_WYBOR!$L$6:$L$80,MATCH($L238,W1_WYBOR!$A$6:$A$80,0)),"")</f>
        <v>Partnerzy z pliku (2029–2030)</v>
      </c>
      <c r="P238" s="28" t="str">
        <f aca="false">IFERROR(INDEX(W1_WYBOR!$M$6:$M$80,MATCH($L238,W1_WYBOR!$A$6:$A$80,0)),"")</f>
        <v>—</v>
      </c>
      <c r="Q238" s="27" t="str">
        <f aca="false">IFERROR(INDEX(W1_WYBOR!$P$6:$P$80,MATCH($L238,W1_WYBOR!$A$6:$A$80,0)),"")</f>
        <v>BEZ ZMIAN</v>
      </c>
      <c r="R238" s="26"/>
      <c r="S238" s="26" t="str">
        <f aca="false">IFERROR(INDEX(W1_WYBOR!$V$6:$V$80,MATCH($L238,W1_WYBOR!$A$6:$A$80,0)),"")</f>
        <v>Brak</v>
      </c>
    </row>
    <row r="239" customFormat="false" ht="37.5" hidden="false" customHeight="true" outlineLevel="0" collapsed="false">
      <c r="A239" s="24" t="s">
        <v>2057</v>
      </c>
      <c r="B239" s="26" t="s">
        <v>2058</v>
      </c>
      <c r="C239" s="26" t="s">
        <v>1304</v>
      </c>
      <c r="D239" s="26" t="s">
        <v>2059</v>
      </c>
      <c r="E239" s="27" t="s">
        <v>2037</v>
      </c>
      <c r="F239" s="27" t="s">
        <v>2038</v>
      </c>
      <c r="G239" s="27" t="n">
        <v>35</v>
      </c>
      <c r="H239" s="26" t="s">
        <v>2060</v>
      </c>
      <c r="I239" s="27" t="s">
        <v>1309</v>
      </c>
      <c r="J239" s="26" t="s">
        <v>1056</v>
      </c>
      <c r="K239" s="26" t="s">
        <v>2061</v>
      </c>
      <c r="L239" s="24" t="s">
        <v>1054</v>
      </c>
      <c r="M239" s="26" t="str">
        <f aca="false">IFERROR(INDEX(W1_WYBOR!$B$6:$B$80,MATCH($L239,W1_WYBOR!$A$6:$A$80,0)),"")</f>
        <v>Genetyka (laboratorium z poradnictwem)</v>
      </c>
      <c r="N239" s="26" t="str">
        <f aca="false">IFERROR(INDEX(W1_WYBOR!$F$6:$F$80,MATCH($L239,W1_WYBOR!$A$6:$A$80,0)),"")</f>
        <v>POŚREDNICTWO PARTNERA</v>
      </c>
      <c r="O239" s="28" t="str">
        <f aca="false">IFERROR(INDEX(W1_WYBOR!$L$6:$L$80,MATCH($L239,W1_WYBOR!$A$6:$A$80,0)),"")</f>
        <v>Partner w naborze (2029–2030)</v>
      </c>
      <c r="P239" s="28" t="str">
        <f aca="false">IFERROR(INDEX(W1_WYBOR!$M$6:$M$80,MATCH($L239,W1_WYBOR!$A$6:$A$80,0)),"")</f>
        <v>—</v>
      </c>
      <c r="Q239" s="27" t="str">
        <f aca="false">IFERROR(INDEX(W1_WYBOR!$P$6:$P$80,MATCH($L239,W1_WYBOR!$A$6:$A$80,0)),"")</f>
        <v>BEZ ZMIAN</v>
      </c>
      <c r="R239" s="26"/>
      <c r="S239" s="26" t="str">
        <f aca="false">IFERROR(INDEX(W1_WYBOR!$V$6:$V$80,MATCH($L239,W1_WYBOR!$A$6:$A$80,0)),"")</f>
        <v>Brak</v>
      </c>
    </row>
    <row r="240" customFormat="false" ht="25.5" hidden="false" customHeight="true" outlineLevel="0" collapsed="false">
      <c r="A240" s="24" t="s">
        <v>2062</v>
      </c>
      <c r="B240" s="26" t="s">
        <v>2063</v>
      </c>
      <c r="C240" s="26" t="s">
        <v>1304</v>
      </c>
      <c r="D240" s="26" t="s">
        <v>2059</v>
      </c>
      <c r="E240" s="27" t="s">
        <v>2037</v>
      </c>
      <c r="F240" s="27" t="s">
        <v>2038</v>
      </c>
      <c r="G240" s="27" t="n">
        <v>35</v>
      </c>
      <c r="H240" s="26" t="s">
        <v>2060</v>
      </c>
      <c r="I240" s="27" t="s">
        <v>1309</v>
      </c>
      <c r="J240" s="26" t="s">
        <v>1121</v>
      </c>
      <c r="K240" s="26" t="s">
        <v>151</v>
      </c>
      <c r="L240" s="24" t="s">
        <v>1119</v>
      </c>
      <c r="M240" s="26" t="str">
        <f aca="false">IFERROR(INDEX(W1_WYBOR!$B$6:$B$80,MATCH($L240,W1_WYBOR!$A$6:$A$80,0)),"")</f>
        <v>Funkcja własna na wspólnych komponentach (W2)</v>
      </c>
      <c r="N240" s="26" t="str">
        <f aca="false">IFERROR(INDEX(W1_WYBOR!$F$6:$F$80,MATCH($L240,W1_WYBOR!$A$6:$A$80,0)),"")</f>
        <v>WŁASNE na komponentach z W2</v>
      </c>
      <c r="O240" s="28" t="str">
        <f aca="false">IFERROR(INDEX(W1_WYBOR!$L$6:$L$80,MATCH($L240,W1_WYBOR!$A$6:$A$80,0)),"")</f>
        <v>Budujemy w aplikacji Eternal na komponentach W2</v>
      </c>
      <c r="P240" s="28" t="str">
        <f aca="false">IFERROR(INDEX(W1_WYBOR!$M$6:$M$80,MATCH($L240,W1_WYBOR!$A$6:$A$80,0)),"")</f>
        <v>Jak MVP</v>
      </c>
      <c r="Q240" s="27" t="str">
        <f aca="false">IFERROR(INDEX(W1_WYBOR!$P$6:$P$80,MATCH($L240,W1_WYBOR!$A$6:$A$80,0)),"")</f>
        <v>BEZ ZMIAN</v>
      </c>
      <c r="R240" s="26"/>
      <c r="S240" s="26" t="str">
        <f aca="false">IFERROR(INDEX(W1_WYBOR!$V$6:$V$80,MATCH($L240,W1_WYBOR!$A$6:$A$80,0)),"")</f>
        <v>Zob. kolumna uwag w W3</v>
      </c>
    </row>
    <row r="241" customFormat="false" ht="25.5" hidden="false" customHeight="true" outlineLevel="0" collapsed="false">
      <c r="A241" s="24" t="s">
        <v>2064</v>
      </c>
      <c r="B241" s="26" t="s">
        <v>2065</v>
      </c>
      <c r="C241" s="26" t="s">
        <v>1304</v>
      </c>
      <c r="D241" s="26" t="s">
        <v>2059</v>
      </c>
      <c r="E241" s="27" t="s">
        <v>2037</v>
      </c>
      <c r="F241" s="27" t="s">
        <v>2038</v>
      </c>
      <c r="G241" s="27" t="n">
        <v>35</v>
      </c>
      <c r="H241" s="26" t="s">
        <v>2060</v>
      </c>
      <c r="I241" s="27" t="s">
        <v>1859</v>
      </c>
      <c r="J241" s="26" t="s">
        <v>1121</v>
      </c>
      <c r="K241" s="26" t="s">
        <v>151</v>
      </c>
      <c r="L241" s="24" t="s">
        <v>1119</v>
      </c>
      <c r="M241" s="26" t="str">
        <f aca="false">IFERROR(INDEX(W1_WYBOR!$B$6:$B$80,MATCH($L241,W1_WYBOR!$A$6:$A$80,0)),"")</f>
        <v>Funkcja własna na wspólnych komponentach (W2)</v>
      </c>
      <c r="N241" s="26" t="str">
        <f aca="false">IFERROR(INDEX(W1_WYBOR!$F$6:$F$80,MATCH($L241,W1_WYBOR!$A$6:$A$80,0)),"")</f>
        <v>WŁASNE na komponentach z W2</v>
      </c>
      <c r="O241" s="28" t="str">
        <f aca="false">IFERROR(INDEX(W1_WYBOR!$L$6:$L$80,MATCH($L241,W1_WYBOR!$A$6:$A$80,0)),"")</f>
        <v>Budujemy w aplikacji Eternal na komponentach W2</v>
      </c>
      <c r="P241" s="28" t="str">
        <f aca="false">IFERROR(INDEX(W1_WYBOR!$M$6:$M$80,MATCH($L241,W1_WYBOR!$A$6:$A$80,0)),"")</f>
        <v>Jak MVP</v>
      </c>
      <c r="Q241" s="27" t="str">
        <f aca="false">IFERROR(INDEX(W1_WYBOR!$P$6:$P$80,MATCH($L241,W1_WYBOR!$A$6:$A$80,0)),"")</f>
        <v>BEZ ZMIAN</v>
      </c>
      <c r="R241" s="26"/>
      <c r="S241" s="26" t="str">
        <f aca="false">IFERROR(INDEX(W1_WYBOR!$V$6:$V$80,MATCH($L241,W1_WYBOR!$A$6:$A$80,0)),"")</f>
        <v>Zob. kolumna uwag w W3</v>
      </c>
    </row>
    <row r="242" customFormat="false" ht="37.5" hidden="false" customHeight="true" outlineLevel="0" collapsed="false">
      <c r="A242" s="24" t="s">
        <v>2066</v>
      </c>
      <c r="B242" s="26" t="s">
        <v>2067</v>
      </c>
      <c r="C242" s="26" t="s">
        <v>1304</v>
      </c>
      <c r="D242" s="26" t="s">
        <v>2059</v>
      </c>
      <c r="E242" s="27" t="s">
        <v>2037</v>
      </c>
      <c r="F242" s="27" t="s">
        <v>2038</v>
      </c>
      <c r="G242" s="27" t="n">
        <v>35</v>
      </c>
      <c r="H242" s="26" t="s">
        <v>2060</v>
      </c>
      <c r="I242" s="27" t="s">
        <v>1309</v>
      </c>
      <c r="J242" s="26" t="s">
        <v>1056</v>
      </c>
      <c r="K242" s="26" t="s">
        <v>2061</v>
      </c>
      <c r="L242" s="24" t="s">
        <v>1054</v>
      </c>
      <c r="M242" s="26" t="str">
        <f aca="false">IFERROR(INDEX(W1_WYBOR!$B$6:$B$80,MATCH($L242,W1_WYBOR!$A$6:$A$80,0)),"")</f>
        <v>Genetyka (laboratorium z poradnictwem)</v>
      </c>
      <c r="N242" s="26" t="str">
        <f aca="false">IFERROR(INDEX(W1_WYBOR!$F$6:$F$80,MATCH($L242,W1_WYBOR!$A$6:$A$80,0)),"")</f>
        <v>POŚREDNICTWO PARTNERA</v>
      </c>
      <c r="O242" s="28" t="str">
        <f aca="false">IFERROR(INDEX(W1_WYBOR!$L$6:$L$80,MATCH($L242,W1_WYBOR!$A$6:$A$80,0)),"")</f>
        <v>Partner w naborze (2029–2030)</v>
      </c>
      <c r="P242" s="28" t="str">
        <f aca="false">IFERROR(INDEX(W1_WYBOR!$M$6:$M$80,MATCH($L242,W1_WYBOR!$A$6:$A$80,0)),"")</f>
        <v>—</v>
      </c>
      <c r="Q242" s="27" t="str">
        <f aca="false">IFERROR(INDEX(W1_WYBOR!$P$6:$P$80,MATCH($L242,W1_WYBOR!$A$6:$A$80,0)),"")</f>
        <v>BEZ ZMIAN</v>
      </c>
      <c r="R242" s="26"/>
      <c r="S242" s="26" t="str">
        <f aca="false">IFERROR(INDEX(W1_WYBOR!$V$6:$V$80,MATCH($L242,W1_WYBOR!$A$6:$A$80,0)),"")</f>
        <v>Brak</v>
      </c>
    </row>
    <row r="243" customFormat="false" ht="37.5" hidden="false" customHeight="true" outlineLevel="0" collapsed="false">
      <c r="A243" s="24" t="s">
        <v>2068</v>
      </c>
      <c r="B243" s="26" t="s">
        <v>2069</v>
      </c>
      <c r="C243" s="26" t="s">
        <v>1304</v>
      </c>
      <c r="D243" s="26" t="s">
        <v>2059</v>
      </c>
      <c r="E243" s="27" t="s">
        <v>2037</v>
      </c>
      <c r="F243" s="27" t="s">
        <v>2038</v>
      </c>
      <c r="G243" s="27" t="n">
        <v>35</v>
      </c>
      <c r="H243" s="26" t="s">
        <v>2060</v>
      </c>
      <c r="I243" s="27" t="s">
        <v>2070</v>
      </c>
      <c r="J243" s="26" t="s">
        <v>1056</v>
      </c>
      <c r="K243" s="26" t="s">
        <v>2061</v>
      </c>
      <c r="L243" s="24" t="s">
        <v>1054</v>
      </c>
      <c r="M243" s="26" t="str">
        <f aca="false">IFERROR(INDEX(W1_WYBOR!$B$6:$B$80,MATCH($L243,W1_WYBOR!$A$6:$A$80,0)),"")</f>
        <v>Genetyka (laboratorium z poradnictwem)</v>
      </c>
      <c r="N243" s="26" t="str">
        <f aca="false">IFERROR(INDEX(W1_WYBOR!$F$6:$F$80,MATCH($L243,W1_WYBOR!$A$6:$A$80,0)),"")</f>
        <v>POŚREDNICTWO PARTNERA</v>
      </c>
      <c r="O243" s="28" t="str">
        <f aca="false">IFERROR(INDEX(W1_WYBOR!$L$6:$L$80,MATCH($L243,W1_WYBOR!$A$6:$A$80,0)),"")</f>
        <v>Partner w naborze (2029–2030)</v>
      </c>
      <c r="P243" s="28" t="str">
        <f aca="false">IFERROR(INDEX(W1_WYBOR!$M$6:$M$80,MATCH($L243,W1_WYBOR!$A$6:$A$80,0)),"")</f>
        <v>—</v>
      </c>
      <c r="Q243" s="27" t="str">
        <f aca="false">IFERROR(INDEX(W1_WYBOR!$P$6:$P$80,MATCH($L243,W1_WYBOR!$A$6:$A$80,0)),"")</f>
        <v>BEZ ZMIAN</v>
      </c>
      <c r="R243" s="26"/>
      <c r="S243" s="26" t="str">
        <f aca="false">IFERROR(INDEX(W1_WYBOR!$V$6:$V$80,MATCH($L243,W1_WYBOR!$A$6:$A$80,0)),"")</f>
        <v>Brak</v>
      </c>
    </row>
    <row r="244" customFormat="false" ht="37.5" hidden="false" customHeight="true" outlineLevel="0" collapsed="false">
      <c r="A244" s="24" t="s">
        <v>2071</v>
      </c>
      <c r="B244" s="26" t="s">
        <v>2072</v>
      </c>
      <c r="C244" s="26" t="s">
        <v>1304</v>
      </c>
      <c r="D244" s="26" t="s">
        <v>2059</v>
      </c>
      <c r="E244" s="27" t="s">
        <v>2037</v>
      </c>
      <c r="F244" s="27" t="s">
        <v>2038</v>
      </c>
      <c r="G244" s="27" t="n">
        <v>35</v>
      </c>
      <c r="H244" s="26" t="s">
        <v>2060</v>
      </c>
      <c r="I244" s="27" t="s">
        <v>1309</v>
      </c>
      <c r="J244" s="26" t="s">
        <v>1056</v>
      </c>
      <c r="K244" s="26" t="s">
        <v>2061</v>
      </c>
      <c r="L244" s="24" t="s">
        <v>1054</v>
      </c>
      <c r="M244" s="26" t="str">
        <f aca="false">IFERROR(INDEX(W1_WYBOR!$B$6:$B$80,MATCH($L244,W1_WYBOR!$A$6:$A$80,0)),"")</f>
        <v>Genetyka (laboratorium z poradnictwem)</v>
      </c>
      <c r="N244" s="26" t="str">
        <f aca="false">IFERROR(INDEX(W1_WYBOR!$F$6:$F$80,MATCH($L244,W1_WYBOR!$A$6:$A$80,0)),"")</f>
        <v>POŚREDNICTWO PARTNERA</v>
      </c>
      <c r="O244" s="28" t="str">
        <f aca="false">IFERROR(INDEX(W1_WYBOR!$L$6:$L$80,MATCH($L244,W1_WYBOR!$A$6:$A$80,0)),"")</f>
        <v>Partner w naborze (2029–2030)</v>
      </c>
      <c r="P244" s="28" t="str">
        <f aca="false">IFERROR(INDEX(W1_WYBOR!$M$6:$M$80,MATCH($L244,W1_WYBOR!$A$6:$A$80,0)),"")</f>
        <v>—</v>
      </c>
      <c r="Q244" s="27" t="str">
        <f aca="false">IFERROR(INDEX(W1_WYBOR!$P$6:$P$80,MATCH($L244,W1_WYBOR!$A$6:$A$80,0)),"")</f>
        <v>BEZ ZMIAN</v>
      </c>
      <c r="R244" s="26"/>
      <c r="S244" s="26" t="str">
        <f aca="false">IFERROR(INDEX(W1_WYBOR!$V$6:$V$80,MATCH($L244,W1_WYBOR!$A$6:$A$80,0)),"")</f>
        <v>Brak</v>
      </c>
    </row>
    <row r="245" customFormat="false" ht="37.5" hidden="false" customHeight="true" outlineLevel="0" collapsed="false">
      <c r="A245" s="24" t="s">
        <v>2073</v>
      </c>
      <c r="B245" s="26" t="s">
        <v>2074</v>
      </c>
      <c r="C245" s="26" t="s">
        <v>1304</v>
      </c>
      <c r="D245" s="26" t="s">
        <v>2059</v>
      </c>
      <c r="E245" s="27" t="s">
        <v>2037</v>
      </c>
      <c r="F245" s="27" t="s">
        <v>2038</v>
      </c>
      <c r="G245" s="27" t="n">
        <v>35</v>
      </c>
      <c r="H245" s="26" t="s">
        <v>2060</v>
      </c>
      <c r="I245" s="27" t="s">
        <v>1309</v>
      </c>
      <c r="J245" s="26" t="s">
        <v>1056</v>
      </c>
      <c r="K245" s="26" t="s">
        <v>2061</v>
      </c>
      <c r="L245" s="24" t="s">
        <v>1054</v>
      </c>
      <c r="M245" s="26" t="str">
        <f aca="false">IFERROR(INDEX(W1_WYBOR!$B$6:$B$80,MATCH($L245,W1_WYBOR!$A$6:$A$80,0)),"")</f>
        <v>Genetyka (laboratorium z poradnictwem)</v>
      </c>
      <c r="N245" s="26" t="str">
        <f aca="false">IFERROR(INDEX(W1_WYBOR!$F$6:$F$80,MATCH($L245,W1_WYBOR!$A$6:$A$80,0)),"")</f>
        <v>POŚREDNICTWO PARTNERA</v>
      </c>
      <c r="O245" s="28" t="str">
        <f aca="false">IFERROR(INDEX(W1_WYBOR!$L$6:$L$80,MATCH($L245,W1_WYBOR!$A$6:$A$80,0)),"")</f>
        <v>Partner w naborze (2029–2030)</v>
      </c>
      <c r="P245" s="28" t="str">
        <f aca="false">IFERROR(INDEX(W1_WYBOR!$M$6:$M$80,MATCH($L245,W1_WYBOR!$A$6:$A$80,0)),"")</f>
        <v>—</v>
      </c>
      <c r="Q245" s="27" t="str">
        <f aca="false">IFERROR(INDEX(W1_WYBOR!$P$6:$P$80,MATCH($L245,W1_WYBOR!$A$6:$A$80,0)),"")</f>
        <v>BEZ ZMIAN</v>
      </c>
      <c r="R245" s="26"/>
      <c r="S245" s="26" t="str">
        <f aca="false">IFERROR(INDEX(W1_WYBOR!$V$6:$V$80,MATCH($L245,W1_WYBOR!$A$6:$A$80,0)),"")</f>
        <v>Brak</v>
      </c>
    </row>
    <row r="246" customFormat="false" ht="37.5" hidden="false" customHeight="true" outlineLevel="0" collapsed="false">
      <c r="A246" s="24" t="s">
        <v>2075</v>
      </c>
      <c r="B246" s="26" t="s">
        <v>2076</v>
      </c>
      <c r="C246" s="26" t="s">
        <v>1304</v>
      </c>
      <c r="D246" s="26" t="s">
        <v>2059</v>
      </c>
      <c r="E246" s="27" t="s">
        <v>2037</v>
      </c>
      <c r="F246" s="27" t="s">
        <v>2038</v>
      </c>
      <c r="G246" s="27" t="n">
        <v>35</v>
      </c>
      <c r="H246" s="26" t="s">
        <v>2060</v>
      </c>
      <c r="I246" s="27" t="s">
        <v>1309</v>
      </c>
      <c r="J246" s="26" t="s">
        <v>1056</v>
      </c>
      <c r="K246" s="26" t="s">
        <v>2061</v>
      </c>
      <c r="L246" s="24" t="s">
        <v>1054</v>
      </c>
      <c r="M246" s="26" t="str">
        <f aca="false">IFERROR(INDEX(W1_WYBOR!$B$6:$B$80,MATCH($L246,W1_WYBOR!$A$6:$A$80,0)),"")</f>
        <v>Genetyka (laboratorium z poradnictwem)</v>
      </c>
      <c r="N246" s="26" t="str">
        <f aca="false">IFERROR(INDEX(W1_WYBOR!$F$6:$F$80,MATCH($L246,W1_WYBOR!$A$6:$A$80,0)),"")</f>
        <v>POŚREDNICTWO PARTNERA</v>
      </c>
      <c r="O246" s="28" t="str">
        <f aca="false">IFERROR(INDEX(W1_WYBOR!$L$6:$L$80,MATCH($L246,W1_WYBOR!$A$6:$A$80,0)),"")</f>
        <v>Partner w naborze (2029–2030)</v>
      </c>
      <c r="P246" s="28" t="str">
        <f aca="false">IFERROR(INDEX(W1_WYBOR!$M$6:$M$80,MATCH($L246,W1_WYBOR!$A$6:$A$80,0)),"")</f>
        <v>—</v>
      </c>
      <c r="Q246" s="27" t="str">
        <f aca="false">IFERROR(INDEX(W1_WYBOR!$P$6:$P$80,MATCH($L246,W1_WYBOR!$A$6:$A$80,0)),"")</f>
        <v>BEZ ZMIAN</v>
      </c>
      <c r="R246" s="26"/>
      <c r="S246" s="26" t="str">
        <f aca="false">IFERROR(INDEX(W1_WYBOR!$V$6:$V$80,MATCH($L246,W1_WYBOR!$A$6:$A$80,0)),"")</f>
        <v>Brak</v>
      </c>
    </row>
    <row r="247" customFormat="false" ht="37.5" hidden="false" customHeight="true" outlineLevel="0" collapsed="false">
      <c r="A247" s="24" t="s">
        <v>2077</v>
      </c>
      <c r="B247" s="26" t="s">
        <v>2078</v>
      </c>
      <c r="C247" s="26" t="s">
        <v>1304</v>
      </c>
      <c r="D247" s="26" t="s">
        <v>2059</v>
      </c>
      <c r="E247" s="27" t="s">
        <v>2037</v>
      </c>
      <c r="F247" s="27" t="s">
        <v>2038</v>
      </c>
      <c r="G247" s="27" t="n">
        <v>35</v>
      </c>
      <c r="H247" s="26" t="s">
        <v>2060</v>
      </c>
      <c r="I247" s="27" t="s">
        <v>1309</v>
      </c>
      <c r="J247" s="26" t="s">
        <v>1056</v>
      </c>
      <c r="K247" s="26" t="s">
        <v>2061</v>
      </c>
      <c r="L247" s="24" t="s">
        <v>1054</v>
      </c>
      <c r="M247" s="26" t="str">
        <f aca="false">IFERROR(INDEX(W1_WYBOR!$B$6:$B$80,MATCH($L247,W1_WYBOR!$A$6:$A$80,0)),"")</f>
        <v>Genetyka (laboratorium z poradnictwem)</v>
      </c>
      <c r="N247" s="26" t="str">
        <f aca="false">IFERROR(INDEX(W1_WYBOR!$F$6:$F$80,MATCH($L247,W1_WYBOR!$A$6:$A$80,0)),"")</f>
        <v>POŚREDNICTWO PARTNERA</v>
      </c>
      <c r="O247" s="28" t="str">
        <f aca="false">IFERROR(INDEX(W1_WYBOR!$L$6:$L$80,MATCH($L247,W1_WYBOR!$A$6:$A$80,0)),"")</f>
        <v>Partner w naborze (2029–2030)</v>
      </c>
      <c r="P247" s="28" t="str">
        <f aca="false">IFERROR(INDEX(W1_WYBOR!$M$6:$M$80,MATCH($L247,W1_WYBOR!$A$6:$A$80,0)),"")</f>
        <v>—</v>
      </c>
      <c r="Q247" s="27" t="str">
        <f aca="false">IFERROR(INDEX(W1_WYBOR!$P$6:$P$80,MATCH($L247,W1_WYBOR!$A$6:$A$80,0)),"")</f>
        <v>BEZ ZMIAN</v>
      </c>
      <c r="R247" s="26"/>
      <c r="S247" s="26" t="str">
        <f aca="false">IFERROR(INDEX(W1_WYBOR!$V$6:$V$80,MATCH($L247,W1_WYBOR!$A$6:$A$80,0)),"")</f>
        <v>Brak</v>
      </c>
    </row>
    <row r="248" customFormat="false" ht="37.5" hidden="false" customHeight="true" outlineLevel="0" collapsed="false">
      <c r="A248" s="24" t="s">
        <v>2079</v>
      </c>
      <c r="B248" s="26" t="s">
        <v>2080</v>
      </c>
      <c r="C248" s="26" t="s">
        <v>1304</v>
      </c>
      <c r="D248" s="26" t="s">
        <v>2059</v>
      </c>
      <c r="E248" s="27" t="s">
        <v>2037</v>
      </c>
      <c r="F248" s="27" t="s">
        <v>2038</v>
      </c>
      <c r="G248" s="27" t="n">
        <v>35</v>
      </c>
      <c r="H248" s="26" t="s">
        <v>2060</v>
      </c>
      <c r="I248" s="27" t="s">
        <v>1309</v>
      </c>
      <c r="J248" s="26" t="s">
        <v>1056</v>
      </c>
      <c r="K248" s="26" t="s">
        <v>2061</v>
      </c>
      <c r="L248" s="24" t="s">
        <v>1054</v>
      </c>
      <c r="M248" s="26" t="str">
        <f aca="false">IFERROR(INDEX(W1_WYBOR!$B$6:$B$80,MATCH($L248,W1_WYBOR!$A$6:$A$80,0)),"")</f>
        <v>Genetyka (laboratorium z poradnictwem)</v>
      </c>
      <c r="N248" s="26" t="str">
        <f aca="false">IFERROR(INDEX(W1_WYBOR!$F$6:$F$80,MATCH($L248,W1_WYBOR!$A$6:$A$80,0)),"")</f>
        <v>POŚREDNICTWO PARTNERA</v>
      </c>
      <c r="O248" s="28" t="str">
        <f aca="false">IFERROR(INDEX(W1_WYBOR!$L$6:$L$80,MATCH($L248,W1_WYBOR!$A$6:$A$80,0)),"")</f>
        <v>Partner w naborze (2029–2030)</v>
      </c>
      <c r="P248" s="28" t="str">
        <f aca="false">IFERROR(INDEX(W1_WYBOR!$M$6:$M$80,MATCH($L248,W1_WYBOR!$A$6:$A$80,0)),"")</f>
        <v>—</v>
      </c>
      <c r="Q248" s="27" t="str">
        <f aca="false">IFERROR(INDEX(W1_WYBOR!$P$6:$P$80,MATCH($L248,W1_WYBOR!$A$6:$A$80,0)),"")</f>
        <v>BEZ ZMIAN</v>
      </c>
      <c r="R248" s="26"/>
      <c r="S248" s="26" t="str">
        <f aca="false">IFERROR(INDEX(W1_WYBOR!$V$6:$V$80,MATCH($L248,W1_WYBOR!$A$6:$A$80,0)),"")</f>
        <v>Brak</v>
      </c>
    </row>
    <row r="249" customFormat="false" ht="37.5" hidden="false" customHeight="true" outlineLevel="0" collapsed="false">
      <c r="A249" s="24" t="s">
        <v>2081</v>
      </c>
      <c r="B249" s="26" t="s">
        <v>2082</v>
      </c>
      <c r="C249" s="26" t="s">
        <v>1304</v>
      </c>
      <c r="D249" s="26" t="s">
        <v>2059</v>
      </c>
      <c r="E249" s="27" t="s">
        <v>2037</v>
      </c>
      <c r="F249" s="27" t="s">
        <v>2038</v>
      </c>
      <c r="G249" s="27" t="n">
        <v>35</v>
      </c>
      <c r="H249" s="26" t="s">
        <v>2060</v>
      </c>
      <c r="I249" s="27" t="s">
        <v>1309</v>
      </c>
      <c r="J249" s="26" t="s">
        <v>1056</v>
      </c>
      <c r="K249" s="26" t="s">
        <v>2061</v>
      </c>
      <c r="L249" s="24" t="s">
        <v>1054</v>
      </c>
      <c r="M249" s="26" t="str">
        <f aca="false">IFERROR(INDEX(W1_WYBOR!$B$6:$B$80,MATCH($L249,W1_WYBOR!$A$6:$A$80,0)),"")</f>
        <v>Genetyka (laboratorium z poradnictwem)</v>
      </c>
      <c r="N249" s="26" t="str">
        <f aca="false">IFERROR(INDEX(W1_WYBOR!$F$6:$F$80,MATCH($L249,W1_WYBOR!$A$6:$A$80,0)),"")</f>
        <v>POŚREDNICTWO PARTNERA</v>
      </c>
      <c r="O249" s="28" t="str">
        <f aca="false">IFERROR(INDEX(W1_WYBOR!$L$6:$L$80,MATCH($L249,W1_WYBOR!$A$6:$A$80,0)),"")</f>
        <v>Partner w naborze (2029–2030)</v>
      </c>
      <c r="P249" s="28" t="str">
        <f aca="false">IFERROR(INDEX(W1_WYBOR!$M$6:$M$80,MATCH($L249,W1_WYBOR!$A$6:$A$80,0)),"")</f>
        <v>—</v>
      </c>
      <c r="Q249" s="27" t="str">
        <f aca="false">IFERROR(INDEX(W1_WYBOR!$P$6:$P$80,MATCH($L249,W1_WYBOR!$A$6:$A$80,0)),"")</f>
        <v>BEZ ZMIAN</v>
      </c>
      <c r="R249" s="26"/>
      <c r="S249" s="26" t="str">
        <f aca="false">IFERROR(INDEX(W1_WYBOR!$V$6:$V$80,MATCH($L249,W1_WYBOR!$A$6:$A$80,0)),"")</f>
        <v>Brak</v>
      </c>
    </row>
    <row r="250" customFormat="false" ht="37.5" hidden="false" customHeight="true" outlineLevel="0" collapsed="false">
      <c r="A250" s="24" t="s">
        <v>2083</v>
      </c>
      <c r="B250" s="26" t="s">
        <v>2084</v>
      </c>
      <c r="C250" s="26" t="s">
        <v>1304</v>
      </c>
      <c r="D250" s="26" t="s">
        <v>2059</v>
      </c>
      <c r="E250" s="27" t="s">
        <v>2037</v>
      </c>
      <c r="F250" s="27" t="s">
        <v>2038</v>
      </c>
      <c r="G250" s="27" t="n">
        <v>35</v>
      </c>
      <c r="H250" s="26" t="s">
        <v>2060</v>
      </c>
      <c r="I250" s="27" t="s">
        <v>2070</v>
      </c>
      <c r="J250" s="26" t="s">
        <v>1056</v>
      </c>
      <c r="K250" s="26" t="s">
        <v>2061</v>
      </c>
      <c r="L250" s="24" t="s">
        <v>1054</v>
      </c>
      <c r="M250" s="26" t="str">
        <f aca="false">IFERROR(INDEX(W1_WYBOR!$B$6:$B$80,MATCH($L250,W1_WYBOR!$A$6:$A$80,0)),"")</f>
        <v>Genetyka (laboratorium z poradnictwem)</v>
      </c>
      <c r="N250" s="26" t="str">
        <f aca="false">IFERROR(INDEX(W1_WYBOR!$F$6:$F$80,MATCH($L250,W1_WYBOR!$A$6:$A$80,0)),"")</f>
        <v>POŚREDNICTWO PARTNERA</v>
      </c>
      <c r="O250" s="28" t="str">
        <f aca="false">IFERROR(INDEX(W1_WYBOR!$L$6:$L$80,MATCH($L250,W1_WYBOR!$A$6:$A$80,0)),"")</f>
        <v>Partner w naborze (2029–2030)</v>
      </c>
      <c r="P250" s="28" t="str">
        <f aca="false">IFERROR(INDEX(W1_WYBOR!$M$6:$M$80,MATCH($L250,W1_WYBOR!$A$6:$A$80,0)),"")</f>
        <v>—</v>
      </c>
      <c r="Q250" s="27" t="str">
        <f aca="false">IFERROR(INDEX(W1_WYBOR!$P$6:$P$80,MATCH($L250,W1_WYBOR!$A$6:$A$80,0)),"")</f>
        <v>BEZ ZMIAN</v>
      </c>
      <c r="R250" s="26"/>
      <c r="S250" s="26" t="str">
        <f aca="false">IFERROR(INDEX(W1_WYBOR!$V$6:$V$80,MATCH($L250,W1_WYBOR!$A$6:$A$80,0)),"")</f>
        <v>Brak</v>
      </c>
    </row>
    <row r="251" customFormat="false" ht="25.5" hidden="false" customHeight="true" outlineLevel="0" collapsed="false">
      <c r="A251" s="24" t="s">
        <v>2085</v>
      </c>
      <c r="B251" s="26" t="s">
        <v>2086</v>
      </c>
      <c r="C251" s="26" t="s">
        <v>2087</v>
      </c>
      <c r="D251" s="26" t="s">
        <v>2088</v>
      </c>
      <c r="E251" s="27" t="s">
        <v>2037</v>
      </c>
      <c r="F251" s="27" t="s">
        <v>2038</v>
      </c>
      <c r="G251" s="27" t="n">
        <v>46</v>
      </c>
      <c r="H251" s="26" t="s">
        <v>2089</v>
      </c>
      <c r="I251" s="27" t="s">
        <v>1309</v>
      </c>
      <c r="J251" s="26" t="s">
        <v>2055</v>
      </c>
      <c r="K251" s="26" t="s">
        <v>2056</v>
      </c>
      <c r="L251" s="24" t="s">
        <v>1065</v>
      </c>
      <c r="M251" s="26" t="str">
        <f aca="false">IFERROR(INDEX(W1_WYBOR!$B$6:$B$80,MATCH($L251,W1_WYBOR!$A$6:$A$80,0)),"")</f>
        <v>Zdrowie zwierząt (Pet)</v>
      </c>
      <c r="N251" s="26" t="str">
        <f aca="false">IFERROR(INDEX(W1_WYBOR!$F$6:$F$80,MATCH($L251,W1_WYBOR!$A$6:$A$80,0)),"")</f>
        <v>POŚREDNICTWO PARTNERÓW</v>
      </c>
      <c r="O251" s="28" t="str">
        <f aca="false">IFERROR(INDEX(W1_WYBOR!$L$6:$L$80,MATCH($L251,W1_WYBOR!$A$6:$A$80,0)),"")</f>
        <v>Partnerzy z pliku (2029–2030)</v>
      </c>
      <c r="P251" s="28" t="str">
        <f aca="false">IFERROR(INDEX(W1_WYBOR!$M$6:$M$80,MATCH($L251,W1_WYBOR!$A$6:$A$80,0)),"")</f>
        <v>—</v>
      </c>
      <c r="Q251" s="27" t="str">
        <f aca="false">IFERROR(INDEX(W1_WYBOR!$P$6:$P$80,MATCH($L251,W1_WYBOR!$A$6:$A$80,0)),"")</f>
        <v>BEZ ZMIAN</v>
      </c>
      <c r="R251" s="26"/>
      <c r="S251" s="26" t="str">
        <f aca="false">IFERROR(INDEX(W1_WYBOR!$V$6:$V$80,MATCH($L251,W1_WYBOR!$A$6:$A$80,0)),"")</f>
        <v>Brak</v>
      </c>
    </row>
    <row r="252" customFormat="false" ht="25.5" hidden="false" customHeight="true" outlineLevel="0" collapsed="false">
      <c r="A252" s="24" t="s">
        <v>2090</v>
      </c>
      <c r="B252" s="26" t="s">
        <v>2091</v>
      </c>
      <c r="C252" s="26" t="s">
        <v>2087</v>
      </c>
      <c r="D252" s="26" t="s">
        <v>2088</v>
      </c>
      <c r="E252" s="27" t="s">
        <v>2037</v>
      </c>
      <c r="F252" s="27" t="s">
        <v>2038</v>
      </c>
      <c r="G252" s="27" t="n">
        <v>46</v>
      </c>
      <c r="H252" s="26" t="s">
        <v>2089</v>
      </c>
      <c r="I252" s="27" t="s">
        <v>1309</v>
      </c>
      <c r="J252" s="26" t="s">
        <v>2055</v>
      </c>
      <c r="K252" s="26" t="s">
        <v>2056</v>
      </c>
      <c r="L252" s="24" t="s">
        <v>1065</v>
      </c>
      <c r="M252" s="26" t="str">
        <f aca="false">IFERROR(INDEX(W1_WYBOR!$B$6:$B$80,MATCH($L252,W1_WYBOR!$A$6:$A$80,0)),"")</f>
        <v>Zdrowie zwierząt (Pet)</v>
      </c>
      <c r="N252" s="26" t="str">
        <f aca="false">IFERROR(INDEX(W1_WYBOR!$F$6:$F$80,MATCH($L252,W1_WYBOR!$A$6:$A$80,0)),"")</f>
        <v>POŚREDNICTWO PARTNERÓW</v>
      </c>
      <c r="O252" s="28" t="str">
        <f aca="false">IFERROR(INDEX(W1_WYBOR!$L$6:$L$80,MATCH($L252,W1_WYBOR!$A$6:$A$80,0)),"")</f>
        <v>Partnerzy z pliku (2029–2030)</v>
      </c>
      <c r="P252" s="28" t="str">
        <f aca="false">IFERROR(INDEX(W1_WYBOR!$M$6:$M$80,MATCH($L252,W1_WYBOR!$A$6:$A$80,0)),"")</f>
        <v>—</v>
      </c>
      <c r="Q252" s="27" t="str">
        <f aca="false">IFERROR(INDEX(W1_WYBOR!$P$6:$P$80,MATCH($L252,W1_WYBOR!$A$6:$A$80,0)),"")</f>
        <v>BEZ ZMIAN</v>
      </c>
      <c r="R252" s="26"/>
      <c r="S252" s="26" t="str">
        <f aca="false">IFERROR(INDEX(W1_WYBOR!$V$6:$V$80,MATCH($L252,W1_WYBOR!$A$6:$A$80,0)),"")</f>
        <v>Brak</v>
      </c>
    </row>
    <row r="253" customFormat="false" ht="25.5" hidden="false" customHeight="true" outlineLevel="0" collapsed="false">
      <c r="A253" s="24" t="s">
        <v>2092</v>
      </c>
      <c r="B253" s="26" t="s">
        <v>2093</v>
      </c>
      <c r="C253" s="26" t="s">
        <v>2087</v>
      </c>
      <c r="D253" s="26" t="s">
        <v>2094</v>
      </c>
      <c r="E253" s="27" t="s">
        <v>2037</v>
      </c>
      <c r="F253" s="27" t="s">
        <v>2038</v>
      </c>
      <c r="G253" s="27" t="n">
        <v>46</v>
      </c>
      <c r="H253" s="26" t="s">
        <v>2089</v>
      </c>
      <c r="I253" s="27" t="s">
        <v>2095</v>
      </c>
      <c r="J253" s="26" t="s">
        <v>1077</v>
      </c>
      <c r="K253" s="26" t="s">
        <v>2096</v>
      </c>
      <c r="L253" s="24" t="s">
        <v>1075</v>
      </c>
      <c r="M253" s="26" t="str">
        <f aca="false">IFERROR(INDEX(W1_WYBOR!$B$6:$B$80,MATCH($L253,W1_WYBOR!$A$6:$A$80,0)),"")</f>
        <v>Ciągły pomiar glukozy (CGM)</v>
      </c>
      <c r="N253" s="26" t="str">
        <f aca="false">IFERROR(INDEX(W1_WYBOR!$F$6:$F$80,MATCH($L253,W1_WYBOR!$A$6:$A$80,0)),"")</f>
        <v>POŚREDNICTWO PRODUCENTA</v>
      </c>
      <c r="O253" s="28" t="str">
        <f aca="false">IFERROR(INDEX(W1_WYBOR!$L$6:$L$80,MATCH($L253,W1_WYBOR!$A$6:$A$80,0)),"")</f>
        <v>Dexcom (2029–2030) albo odczyt przez system telefonu</v>
      </c>
      <c r="P253" s="28" t="str">
        <f aca="false">IFERROR(INDEX(W1_WYBOR!$M$6:$M$80,MATCH($L253,W1_WYBOR!$A$6:$A$80,0)),"")</f>
        <v>—</v>
      </c>
      <c r="Q253" s="27" t="str">
        <f aca="false">IFERROR(INDEX(W1_WYBOR!$P$6:$P$80,MATCH($L253,W1_WYBOR!$A$6:$A$80,0)),"")</f>
        <v>BEZ ZMIAN</v>
      </c>
      <c r="R253" s="26"/>
      <c r="S253" s="26" t="str">
        <f aca="false">IFERROR(INDEX(W1_WYBOR!$V$6:$V$80,MATCH($L253,W1_WYBOR!$A$6:$A$80,0)),"")</f>
        <v>Brak</v>
      </c>
    </row>
    <row r="254" customFormat="false" ht="37.5" hidden="false" customHeight="true" outlineLevel="0" collapsed="false">
      <c r="A254" s="24" t="s">
        <v>2097</v>
      </c>
      <c r="B254" s="26" t="s">
        <v>2098</v>
      </c>
      <c r="C254" s="26" t="s">
        <v>2087</v>
      </c>
      <c r="D254" s="26" t="s">
        <v>2094</v>
      </c>
      <c r="E254" s="27" t="s">
        <v>2037</v>
      </c>
      <c r="F254" s="27" t="s">
        <v>2038</v>
      </c>
      <c r="G254" s="27" t="n">
        <v>46</v>
      </c>
      <c r="H254" s="26" t="s">
        <v>2089</v>
      </c>
      <c r="I254" s="27" t="s">
        <v>1309</v>
      </c>
      <c r="J254" s="26" t="s">
        <v>2099</v>
      </c>
      <c r="K254" s="26" t="s">
        <v>2100</v>
      </c>
      <c r="L254" s="24" t="s">
        <v>1106</v>
      </c>
      <c r="M254" s="26" t="str">
        <f aca="false">IFERROR(INDEX(W1_WYBOR!$B$6:$B$80,MATCH($L254,W1_WYBOR!$A$6:$A$80,0)),"")</f>
        <v>Funkcja systemu telefonu, przeglądarki lub urządzenia (nie kupujemy)</v>
      </c>
      <c r="N254" s="26" t="str">
        <f aca="false">IFERROR(INDEX(W1_WYBOR!$F$6:$F$80,MATCH($L254,W1_WYBOR!$A$6:$A$80,0)),"")</f>
        <v>SYSTEM</v>
      </c>
      <c r="O254" s="28" t="str">
        <f aca="false">IFERROR(INDEX(W1_WYBOR!$L$6:$L$80,MATCH($L254,W1_WYBOR!$A$6:$A$80,0)),"")</f>
        <v>Funkcja systemu + nasza obsługa w aplikacji</v>
      </c>
      <c r="P254" s="28" t="str">
        <f aca="false">IFERROR(INDEX(W1_WYBOR!$M$6:$M$80,MATCH($L254,W1_WYBOR!$A$6:$A$80,0)),"")</f>
        <v>Jak MVP</v>
      </c>
      <c r="Q254" s="27" t="str">
        <f aca="false">IFERROR(INDEX(W1_WYBOR!$P$6:$P$80,MATCH($L254,W1_WYBOR!$A$6:$A$80,0)),"")</f>
        <v>BEZ ZMIAN</v>
      </c>
      <c r="R254" s="26"/>
      <c r="S254" s="26" t="str">
        <f aca="false">IFERROR(INDEX(W1_WYBOR!$V$6:$V$80,MATCH($L254,W1_WYBOR!$A$6:$A$80,0)),"")</f>
        <v>Częściowo (PWA); pełny dostęp w aplikacji mobilnej</v>
      </c>
    </row>
    <row r="255" customFormat="false" ht="37.5" hidden="false" customHeight="true" outlineLevel="0" collapsed="false">
      <c r="A255" s="24" t="s">
        <v>2101</v>
      </c>
      <c r="B255" s="26" t="s">
        <v>2102</v>
      </c>
      <c r="C255" s="26" t="s">
        <v>1641</v>
      </c>
      <c r="D255" s="26" t="s">
        <v>2103</v>
      </c>
      <c r="E255" s="27" t="s">
        <v>2037</v>
      </c>
      <c r="F255" s="27" t="s">
        <v>2038</v>
      </c>
      <c r="G255" s="27" t="n">
        <v>38</v>
      </c>
      <c r="H255" s="26" t="s">
        <v>2104</v>
      </c>
      <c r="I255" s="27" t="s">
        <v>1309</v>
      </c>
      <c r="J255" s="26" t="s">
        <v>1088</v>
      </c>
      <c r="K255" s="26" t="s">
        <v>2105</v>
      </c>
      <c r="L255" s="24" t="s">
        <v>1086</v>
      </c>
      <c r="M255" s="26" t="str">
        <f aca="false">IFERROR(INDEX(W1_WYBOR!$B$6:$B$80,MATCH($L255,W1_WYBOR!$A$6:$A$80,0)),"")</f>
        <v>Cyfrowy spadek (testament danych)</v>
      </c>
      <c r="N255" s="26" t="str">
        <f aca="false">IFERROR(INDEX(W1_WYBOR!$F$6:$F$80,MATCH($L255,W1_WYBOR!$A$6:$A$80,0)),"")</f>
        <v>WŁASNE + notariusz</v>
      </c>
      <c r="O255" s="28" t="str">
        <f aca="false">IFERROR(INDEX(W1_WYBOR!$L$6:$L$80,MATCH($L255,W1_WYBOR!$A$6:$A$80,0)),"")</f>
        <v>Własne archiwum z dyspozycją użytkownika (2029–2030)</v>
      </c>
      <c r="P255" s="28" t="str">
        <f aca="false">IFERROR(INDEX(W1_WYBOR!$M$6:$M$80,MATCH($L255,W1_WYBOR!$A$6:$A$80,0)),"")</f>
        <v>—</v>
      </c>
      <c r="Q255" s="27" t="str">
        <f aca="false">IFERROR(INDEX(W1_WYBOR!$P$6:$P$80,MATCH($L255,W1_WYBOR!$A$6:$A$80,0)),"")</f>
        <v>BEZ ZMIAN</v>
      </c>
      <c r="R255" s="26"/>
      <c r="S255" s="26" t="str">
        <f aca="false">IFERROR(INDEX(W1_WYBOR!$V$6:$V$80,MATCH($L255,W1_WYBOR!$A$6:$A$80,0)),"")</f>
        <v>Brak</v>
      </c>
    </row>
    <row r="256" customFormat="false" ht="25.5" hidden="false" customHeight="true" outlineLevel="0" collapsed="false">
      <c r="A256" s="24" t="s">
        <v>2106</v>
      </c>
      <c r="B256" s="26" t="s">
        <v>2107</v>
      </c>
      <c r="C256" s="26" t="s">
        <v>1967</v>
      </c>
      <c r="D256" s="26" t="s">
        <v>2108</v>
      </c>
      <c r="E256" s="27" t="s">
        <v>2037</v>
      </c>
      <c r="F256" s="27" t="s">
        <v>2038</v>
      </c>
      <c r="G256" s="27" t="n">
        <v>36</v>
      </c>
      <c r="H256" s="26" t="s">
        <v>1957</v>
      </c>
      <c r="I256" s="27" t="s">
        <v>1309</v>
      </c>
      <c r="J256" s="26" t="s">
        <v>1098</v>
      </c>
      <c r="K256" s="26" t="s">
        <v>2109</v>
      </c>
      <c r="L256" s="24" t="s">
        <v>1096</v>
      </c>
      <c r="M256" s="26" t="str">
        <f aca="false">IFERROR(INDEX(W1_WYBOR!$B$6:$B$80,MATCH($L256,W1_WYBOR!$A$6:$A$80,0)),"")</f>
        <v>Środowiska 3D/VR</v>
      </c>
      <c r="N256" s="26" t="str">
        <f aca="false">IFERROR(INDEX(W1_WYBOR!$F$6:$F$80,MATCH($L256,W1_WYBOR!$A$6:$A$80,0)),"")</f>
        <v>SILNIK GOTOWY</v>
      </c>
      <c r="O256" s="28" t="str">
        <f aca="false">IFERROR(INDEX(W1_WYBOR!$L$6:$L$80,MATCH($L256,W1_WYBOR!$A$6:$A$80,0)),"")</f>
        <v>Unity albo Unreal z OpenXR (2029–2030)</v>
      </c>
      <c r="P256" s="28" t="str">
        <f aca="false">IFERROR(INDEX(W1_WYBOR!$M$6:$M$80,MATCH($L256,W1_WYBOR!$A$6:$A$80,0)),"")</f>
        <v>—</v>
      </c>
      <c r="Q256" s="27" t="str">
        <f aca="false">IFERROR(INDEX(W1_WYBOR!$P$6:$P$80,MATCH($L256,W1_WYBOR!$A$6:$A$80,0)),"")</f>
        <v>BEZ ZMIAN</v>
      </c>
      <c r="R256" s="26"/>
      <c r="S256" s="26" t="str">
        <f aca="false">IFERROR(INDEX(W1_WYBOR!$V$6:$V$80,MATCH($L256,W1_WYBOR!$A$6:$A$80,0)),"")</f>
        <v>Brak</v>
      </c>
    </row>
  </sheetData>
  <autoFilter ref="A5:S256"/>
  <conditionalFormatting sqref="Q6:Q256">
    <cfRule type="expression" priority="2" aboveAverage="0" equalAverage="0" bottom="0" percent="0" rank="0" text="" dxfId="9">
      <formula>$Q6="ZMIANA — WYMUSZONA RYNKIEM"</formula>
    </cfRule>
    <cfRule type="expression" priority="3" aboveAverage="0" equalAverage="0" bottom="0" percent="0" rank="0" text="" dxfId="10">
      <formula>$Q6="ZMIANA"</formula>
    </cfRule>
    <cfRule type="expression" priority="4" aboveAverage="0" equalAverage="0" bottom="0" percent="0" rank="0" text="" dxfId="11">
      <formula>$Q6="DOPRECYZOWANIE"</formula>
    </cfRule>
    <cfRule type="expression" priority="5" aboveAverage="0" equalAverage="0" bottom="0" percent="0" rank="0" text="" dxfId="12">
      <formula>$Q6="BEZ ZMIAN"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6" min="3" style="0" width="13"/>
    <col collapsed="false" customWidth="true" hidden="false" outlineLevel="0" max="7" min="7" style="0" width="16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2110</v>
      </c>
    </row>
    <row r="2" customFormat="false" ht="15" hidden="false" customHeight="false" outlineLevel="0" collapsed="false">
      <c r="A2" s="2" t="s">
        <v>2111</v>
      </c>
    </row>
    <row r="3" customFormat="false" ht="15" hidden="false" customHeight="false" outlineLevel="0" collapsed="false">
      <c r="A3" s="21" t="s">
        <v>2112</v>
      </c>
    </row>
    <row r="5" customFormat="false" ht="15" hidden="false" customHeight="false" outlineLevel="0" collapsed="false">
      <c r="B5" s="33" t="s">
        <v>2113</v>
      </c>
      <c r="C5" s="4"/>
      <c r="D5" s="4"/>
      <c r="E5" s="4"/>
      <c r="F5" s="4"/>
      <c r="G5" s="4"/>
      <c r="H5" s="4"/>
    </row>
    <row r="6" customFormat="false" ht="14.25" hidden="false" customHeight="true" outlineLevel="0" collapsed="false">
      <c r="B6" s="22" t="s">
        <v>2114</v>
      </c>
      <c r="C6" s="22" t="s">
        <v>2115</v>
      </c>
      <c r="D6" s="22"/>
      <c r="E6" s="22"/>
      <c r="F6" s="22"/>
      <c r="G6" s="22" t="s">
        <v>2116</v>
      </c>
      <c r="H6" s="22" t="s">
        <v>2117</v>
      </c>
    </row>
    <row r="7" customFormat="false" ht="14.25" hidden="false" customHeight="true" outlineLevel="0" collapsed="false">
      <c r="B7" s="34" t="s">
        <v>2118</v>
      </c>
      <c r="C7" s="35" t="n">
        <v>3.7</v>
      </c>
      <c r="G7" s="34" t="s">
        <v>2119</v>
      </c>
      <c r="H7" s="34" t="s">
        <v>2120</v>
      </c>
    </row>
    <row r="8" customFormat="false" ht="14.25" hidden="false" customHeight="true" outlineLevel="0" collapsed="false">
      <c r="B8" s="34" t="s">
        <v>2121</v>
      </c>
      <c r="C8" s="35" t="n">
        <v>4.25</v>
      </c>
      <c r="G8" s="34" t="s">
        <v>2122</v>
      </c>
      <c r="H8" s="34" t="s">
        <v>2120</v>
      </c>
    </row>
    <row r="9" customFormat="false" ht="14.25" hidden="false" customHeight="true" outlineLevel="0" collapsed="false"/>
    <row r="10" customFormat="false" ht="14.25" hidden="false" customHeight="true" outlineLevel="0" collapsed="false">
      <c r="B10" s="33" t="s">
        <v>2123</v>
      </c>
      <c r="C10" s="4"/>
      <c r="D10" s="4"/>
      <c r="E10" s="4"/>
      <c r="F10" s="4"/>
      <c r="G10" s="4"/>
      <c r="H10" s="4"/>
    </row>
    <row r="11" customFormat="false" ht="14.25" hidden="false" customHeight="true" outlineLevel="0" collapsed="false">
      <c r="B11" s="22" t="s">
        <v>2124</v>
      </c>
      <c r="C11" s="22" t="s">
        <v>2125</v>
      </c>
      <c r="D11" s="22" t="s">
        <v>2126</v>
      </c>
      <c r="E11" s="22" t="s">
        <v>2127</v>
      </c>
      <c r="F11" s="22" t="s">
        <v>2128</v>
      </c>
      <c r="G11" s="22" t="s">
        <v>2116</v>
      </c>
      <c r="H11" s="22" t="s">
        <v>2117</v>
      </c>
    </row>
    <row r="12" customFormat="false" ht="14.25" hidden="false" customHeight="true" outlineLevel="0" collapsed="false">
      <c r="B12" s="34" t="s">
        <v>2129</v>
      </c>
      <c r="C12" s="36" t="n">
        <v>50</v>
      </c>
      <c r="D12" s="36" t="n">
        <v>2000</v>
      </c>
      <c r="E12" s="36" t="n">
        <v>20000</v>
      </c>
      <c r="F12" s="36" t="n">
        <v>150000</v>
      </c>
      <c r="G12" s="34" t="s">
        <v>2130</v>
      </c>
      <c r="H12" s="34" t="s">
        <v>2131</v>
      </c>
    </row>
    <row r="13" customFormat="false" ht="14.25" hidden="false" customHeight="true" outlineLevel="0" collapsed="false">
      <c r="B13" s="34" t="s">
        <v>2132</v>
      </c>
      <c r="C13" s="36" t="n">
        <v>1</v>
      </c>
      <c r="D13" s="36" t="n">
        <v>5</v>
      </c>
      <c r="E13" s="36" t="n">
        <v>30</v>
      </c>
      <c r="F13" s="36" t="n">
        <v>150</v>
      </c>
      <c r="G13" s="34" t="s">
        <v>2133</v>
      </c>
      <c r="H13" s="34" t="s">
        <v>2134</v>
      </c>
    </row>
    <row r="14" customFormat="false" ht="14.25" hidden="false" customHeight="true" outlineLevel="0" collapsed="false">
      <c r="B14" s="34" t="s">
        <v>2135</v>
      </c>
      <c r="C14" s="36" t="n">
        <v>20</v>
      </c>
      <c r="D14" s="36" t="n">
        <v>100</v>
      </c>
      <c r="E14" s="36" t="n">
        <v>150</v>
      </c>
      <c r="F14" s="36" t="n">
        <v>200</v>
      </c>
      <c r="G14" s="34" t="s">
        <v>2136</v>
      </c>
      <c r="H14" s="34" t="s">
        <v>2134</v>
      </c>
    </row>
    <row r="15" customFormat="false" ht="14.25" hidden="false" customHeight="true" outlineLevel="0" collapsed="false">
      <c r="B15" s="34" t="s">
        <v>2137</v>
      </c>
      <c r="C15" s="37" t="n">
        <v>0.5</v>
      </c>
      <c r="D15" s="37" t="n">
        <v>0.5</v>
      </c>
      <c r="E15" s="37" t="n">
        <v>0.6</v>
      </c>
      <c r="F15" s="37" t="n">
        <v>0.7</v>
      </c>
      <c r="G15" s="34" t="s">
        <v>2138</v>
      </c>
      <c r="H15" s="34" t="s">
        <v>2134</v>
      </c>
    </row>
    <row r="16" customFormat="false" ht="14.25" hidden="false" customHeight="true" outlineLevel="0" collapsed="false">
      <c r="B16" s="34" t="s">
        <v>2139</v>
      </c>
      <c r="C16" s="36" t="n">
        <v>15</v>
      </c>
      <c r="D16" s="36" t="n">
        <v>15</v>
      </c>
      <c r="E16" s="36" t="n">
        <v>15</v>
      </c>
      <c r="F16" s="36" t="n">
        <v>15</v>
      </c>
      <c r="G16" s="34" t="s">
        <v>2140</v>
      </c>
      <c r="H16" s="34" t="s">
        <v>2134</v>
      </c>
    </row>
    <row r="17" customFormat="false" ht="14.25" hidden="false" customHeight="true" outlineLevel="0" collapsed="false">
      <c r="B17" s="34" t="s">
        <v>2141</v>
      </c>
      <c r="C17" s="37" t="n">
        <v>0.3</v>
      </c>
      <c r="D17" s="37" t="n">
        <v>0.2</v>
      </c>
      <c r="E17" s="37" t="n">
        <v>0.2</v>
      </c>
      <c r="F17" s="37" t="n">
        <v>0.15</v>
      </c>
      <c r="G17" s="34" t="s">
        <v>2138</v>
      </c>
      <c r="H17" s="34" t="s">
        <v>2134</v>
      </c>
    </row>
    <row r="18" customFormat="false" ht="14.25" hidden="false" customHeight="true" outlineLevel="0" collapsed="false">
      <c r="B18" s="34" t="s">
        <v>2142</v>
      </c>
      <c r="C18" s="36" t="n">
        <v>3</v>
      </c>
      <c r="D18" s="36" t="n">
        <v>3</v>
      </c>
      <c r="E18" s="36" t="n">
        <v>3</v>
      </c>
      <c r="F18" s="36" t="n">
        <v>3</v>
      </c>
      <c r="G18" s="34" t="s">
        <v>2143</v>
      </c>
      <c r="H18" s="34" t="s">
        <v>2134</v>
      </c>
    </row>
    <row r="19" customFormat="false" ht="14.25" hidden="false" customHeight="true" outlineLevel="0" collapsed="false">
      <c r="B19" s="34" t="s">
        <v>2144</v>
      </c>
      <c r="C19" s="37" t="n">
        <v>0.4</v>
      </c>
      <c r="D19" s="37" t="n">
        <v>0.4</v>
      </c>
      <c r="E19" s="37" t="n">
        <v>0.4</v>
      </c>
      <c r="F19" s="37" t="n">
        <v>0.4</v>
      </c>
      <c r="G19" s="34" t="s">
        <v>2138</v>
      </c>
      <c r="H19" s="34" t="s">
        <v>2145</v>
      </c>
    </row>
    <row r="20" customFormat="false" ht="14.25" hidden="false" customHeight="true" outlineLevel="0" collapsed="false">
      <c r="B20" s="34" t="s">
        <v>2146</v>
      </c>
      <c r="C20" s="36" t="n">
        <v>2</v>
      </c>
      <c r="D20" s="36" t="n">
        <v>4</v>
      </c>
      <c r="E20" s="36" t="n">
        <v>6</v>
      </c>
      <c r="F20" s="36" t="n">
        <v>8</v>
      </c>
      <c r="G20" s="34" t="s">
        <v>2147</v>
      </c>
      <c r="H20" s="34" t="s">
        <v>2134</v>
      </c>
    </row>
    <row r="21" customFormat="false" ht="14.25" hidden="false" customHeight="true" outlineLevel="0" collapsed="false">
      <c r="B21" s="34" t="s">
        <v>2148</v>
      </c>
      <c r="C21" s="36" t="n">
        <v>3000</v>
      </c>
      <c r="D21" s="36" t="n">
        <v>3000</v>
      </c>
      <c r="E21" s="36" t="n">
        <v>3000</v>
      </c>
      <c r="F21" s="36" t="n">
        <v>3000</v>
      </c>
      <c r="G21" s="34" t="s">
        <v>2149</v>
      </c>
      <c r="H21" s="34" t="s">
        <v>2134</v>
      </c>
    </row>
    <row r="22" customFormat="false" ht="14.25" hidden="false" customHeight="true" outlineLevel="0" collapsed="false">
      <c r="B22" s="34" t="s">
        <v>2150</v>
      </c>
      <c r="C22" s="36" t="n">
        <v>500</v>
      </c>
      <c r="D22" s="36" t="n">
        <v>500</v>
      </c>
      <c r="E22" s="36" t="n">
        <v>500</v>
      </c>
      <c r="F22" s="36" t="n">
        <v>500</v>
      </c>
      <c r="G22" s="34" t="s">
        <v>2149</v>
      </c>
      <c r="H22" s="34" t="s">
        <v>2134</v>
      </c>
    </row>
    <row r="23" customFormat="false" ht="14.25" hidden="false" customHeight="true" outlineLevel="0" collapsed="false">
      <c r="B23" s="34" t="s">
        <v>2151</v>
      </c>
      <c r="C23" s="37" t="n">
        <v>0.2</v>
      </c>
      <c r="D23" s="37" t="n">
        <v>0.2</v>
      </c>
      <c r="E23" s="37" t="n">
        <v>0.2</v>
      </c>
      <c r="F23" s="37" t="n">
        <v>0.2</v>
      </c>
      <c r="G23" s="34" t="s">
        <v>2138</v>
      </c>
      <c r="H23" s="34" t="s">
        <v>2152</v>
      </c>
    </row>
    <row r="24" customFormat="false" ht="14.25" hidden="false" customHeight="true" outlineLevel="0" collapsed="false">
      <c r="B24" s="34" t="s">
        <v>2153</v>
      </c>
      <c r="C24" s="36" t="n">
        <v>50</v>
      </c>
      <c r="D24" s="36" t="n">
        <v>2000</v>
      </c>
      <c r="E24" s="36" t="n">
        <v>2000</v>
      </c>
      <c r="F24" s="36" t="n">
        <v>2000</v>
      </c>
      <c r="G24" s="34" t="s">
        <v>2154</v>
      </c>
      <c r="H24" s="34" t="s">
        <v>2155</v>
      </c>
    </row>
    <row r="25" customFormat="false" ht="14.25" hidden="false" customHeight="true" outlineLevel="0" collapsed="false">
      <c r="B25" s="34" t="s">
        <v>2156</v>
      </c>
      <c r="C25" s="36" t="n">
        <v>4</v>
      </c>
      <c r="D25" s="36" t="n">
        <v>4</v>
      </c>
      <c r="E25" s="36" t="n">
        <v>4</v>
      </c>
      <c r="F25" s="36" t="n">
        <v>4</v>
      </c>
      <c r="G25" s="34" t="s">
        <v>2157</v>
      </c>
      <c r="H25" s="34" t="s">
        <v>2134</v>
      </c>
    </row>
    <row r="26" customFormat="false" ht="25.5" hidden="false" customHeight="true" outlineLevel="0" collapsed="false">
      <c r="B26" s="34" t="s">
        <v>2158</v>
      </c>
      <c r="C26" s="37" t="n">
        <v>0</v>
      </c>
      <c r="D26" s="37" t="n">
        <v>0</v>
      </c>
      <c r="E26" s="37" t="n">
        <v>0.1</v>
      </c>
      <c r="F26" s="37" t="n">
        <v>0.15</v>
      </c>
      <c r="G26" s="34" t="s">
        <v>2138</v>
      </c>
      <c r="H26" s="34" t="s">
        <v>2159</v>
      </c>
    </row>
    <row r="27" customFormat="false" ht="14.25" hidden="false" customHeight="true" outlineLevel="0" collapsed="false">
      <c r="B27" s="34" t="s">
        <v>2160</v>
      </c>
      <c r="C27" s="36" t="n">
        <v>0</v>
      </c>
      <c r="D27" s="36" t="n">
        <v>2</v>
      </c>
      <c r="E27" s="36" t="n">
        <v>5</v>
      </c>
      <c r="F27" s="36" t="n">
        <v>15</v>
      </c>
      <c r="G27" s="34" t="s">
        <v>2130</v>
      </c>
      <c r="H27" s="34" t="s">
        <v>2134</v>
      </c>
    </row>
    <row r="28" customFormat="false" ht="14.25" hidden="false" customHeight="true" outlineLevel="0" collapsed="false">
      <c r="B28" s="34" t="s">
        <v>2161</v>
      </c>
      <c r="C28" s="36" t="n">
        <v>0</v>
      </c>
      <c r="D28" s="36" t="n">
        <v>0</v>
      </c>
      <c r="E28" s="36" t="n">
        <v>1</v>
      </c>
      <c r="F28" s="36" t="n">
        <v>1</v>
      </c>
      <c r="G28" s="34" t="s">
        <v>2162</v>
      </c>
      <c r="H28" s="34" t="s">
        <v>2163</v>
      </c>
    </row>
    <row r="29" customFormat="false" ht="14.25" hidden="false" customHeight="true" outlineLevel="0" collapsed="false">
      <c r="B29" s="34" t="s">
        <v>2164</v>
      </c>
      <c r="C29" s="36" t="n">
        <v>0</v>
      </c>
      <c r="D29" s="36" t="n">
        <v>1</v>
      </c>
      <c r="E29" s="36" t="n">
        <v>1</v>
      </c>
      <c r="F29" s="36" t="n">
        <v>1</v>
      </c>
      <c r="G29" s="34" t="s">
        <v>2162</v>
      </c>
      <c r="H29" s="34" t="s">
        <v>706</v>
      </c>
    </row>
    <row r="30" customFormat="false" ht="14.25" hidden="false" customHeight="true" outlineLevel="0" collapsed="false">
      <c r="B30" s="34" t="s">
        <v>2165</v>
      </c>
      <c r="C30" s="36" t="n">
        <v>0</v>
      </c>
      <c r="D30" s="36" t="n">
        <v>199</v>
      </c>
      <c r="E30" s="36" t="n">
        <v>199</v>
      </c>
      <c r="F30" s="36" t="n">
        <v>199</v>
      </c>
      <c r="G30" s="34" t="s">
        <v>2166</v>
      </c>
      <c r="H30" s="34" t="s">
        <v>2167</v>
      </c>
    </row>
    <row r="31" customFormat="false" ht="14.25" hidden="false" customHeight="true" outlineLevel="0" collapsed="false">
      <c r="B31" s="34" t="s">
        <v>2168</v>
      </c>
      <c r="C31" s="36" t="n">
        <v>100</v>
      </c>
      <c r="D31" s="36" t="n">
        <v>800</v>
      </c>
      <c r="E31" s="36" t="n">
        <v>2000</v>
      </c>
      <c r="F31" s="36" t="n">
        <v>8000</v>
      </c>
      <c r="G31" s="34" t="s">
        <v>2169</v>
      </c>
      <c r="H31" s="34" t="s">
        <v>2170</v>
      </c>
    </row>
    <row r="32" customFormat="false" ht="14.25" hidden="false" customHeight="true" outlineLevel="0" collapsed="false">
      <c r="B32" s="34" t="s">
        <v>2171</v>
      </c>
      <c r="C32" s="36" t="n">
        <v>0</v>
      </c>
      <c r="D32" s="36" t="n">
        <v>350</v>
      </c>
      <c r="E32" s="36" t="n">
        <v>600</v>
      </c>
      <c r="F32" s="36" t="n">
        <v>1500</v>
      </c>
      <c r="G32" s="34" t="s">
        <v>2169</v>
      </c>
      <c r="H32" s="34" t="s">
        <v>2172</v>
      </c>
    </row>
    <row r="33" customFormat="false" ht="25.5" hidden="false" customHeight="true" outlineLevel="0" collapsed="false">
      <c r="B33" s="34" t="s">
        <v>2173</v>
      </c>
      <c r="C33" s="36" t="n">
        <v>0</v>
      </c>
      <c r="D33" s="36" t="n">
        <v>400</v>
      </c>
      <c r="E33" s="36" t="n">
        <v>1000</v>
      </c>
      <c r="F33" s="36" t="n">
        <v>3000</v>
      </c>
      <c r="G33" s="34" t="s">
        <v>2169</v>
      </c>
      <c r="H33" s="34" t="s">
        <v>2134</v>
      </c>
    </row>
    <row r="34" customFormat="false" ht="14.25" hidden="false" customHeight="true" outlineLevel="0" collapsed="false"/>
    <row r="35" customFormat="false" ht="14.25" hidden="false" customHeight="true" outlineLevel="0" collapsed="false">
      <c r="B35" s="33" t="s">
        <v>2174</v>
      </c>
      <c r="C35" s="4"/>
      <c r="D35" s="4"/>
      <c r="E35" s="4"/>
      <c r="F35" s="4"/>
      <c r="G35" s="4"/>
      <c r="H35" s="4"/>
    </row>
    <row r="36" customFormat="false" ht="14.25" hidden="false" customHeight="true" outlineLevel="0" collapsed="false">
      <c r="B36" s="22" t="s">
        <v>2175</v>
      </c>
      <c r="C36" s="22" t="s">
        <v>2115</v>
      </c>
      <c r="D36" s="22"/>
      <c r="E36" s="22"/>
      <c r="F36" s="22"/>
      <c r="G36" s="22" t="s">
        <v>2116</v>
      </c>
      <c r="H36" s="22" t="s">
        <v>2117</v>
      </c>
    </row>
    <row r="37" customFormat="false" ht="14.25" hidden="false" customHeight="true" outlineLevel="0" collapsed="false">
      <c r="B37" s="34" t="s">
        <v>2176</v>
      </c>
      <c r="C37" s="35" t="n">
        <v>4</v>
      </c>
      <c r="G37" s="34" t="s">
        <v>2177</v>
      </c>
      <c r="H37" s="34" t="s">
        <v>2178</v>
      </c>
    </row>
    <row r="38" customFormat="false" ht="14.25" hidden="false" customHeight="true" outlineLevel="0" collapsed="false">
      <c r="B38" s="34" t="s">
        <v>2179</v>
      </c>
      <c r="C38" s="35" t="n">
        <v>1.5</v>
      </c>
      <c r="G38" s="34" t="s">
        <v>2177</v>
      </c>
      <c r="H38" s="34" t="s">
        <v>2180</v>
      </c>
    </row>
    <row r="39" customFormat="false" ht="14.25" hidden="false" customHeight="true" outlineLevel="0" collapsed="false">
      <c r="B39" s="34" t="s">
        <v>2181</v>
      </c>
      <c r="C39" s="35" t="n">
        <v>1</v>
      </c>
      <c r="G39" s="34" t="s">
        <v>2182</v>
      </c>
      <c r="H39" s="34" t="s">
        <v>2183</v>
      </c>
    </row>
    <row r="40" customFormat="false" ht="14.25" hidden="false" customHeight="true" outlineLevel="0" collapsed="false">
      <c r="B40" s="34" t="s">
        <v>2184</v>
      </c>
      <c r="C40" s="35" t="n">
        <v>5</v>
      </c>
      <c r="G40" s="34" t="s">
        <v>2182</v>
      </c>
      <c r="H40" s="34" t="s">
        <v>2185</v>
      </c>
    </row>
    <row r="41" customFormat="false" ht="14.25" hidden="false" customHeight="true" outlineLevel="0" collapsed="false">
      <c r="B41" s="34" t="s">
        <v>2186</v>
      </c>
      <c r="C41" s="35" t="n">
        <v>3</v>
      </c>
      <c r="G41" s="34" t="s">
        <v>2182</v>
      </c>
      <c r="H41" s="34" t="s">
        <v>2185</v>
      </c>
    </row>
    <row r="42" customFormat="false" ht="14.25" hidden="false" customHeight="true" outlineLevel="0" collapsed="false">
      <c r="B42" s="34" t="s">
        <v>2187</v>
      </c>
      <c r="C42" s="35" t="n">
        <v>15</v>
      </c>
      <c r="G42" s="34" t="s">
        <v>2182</v>
      </c>
      <c r="H42" s="34" t="s">
        <v>2185</v>
      </c>
    </row>
    <row r="43" customFormat="false" ht="25.5" hidden="false" customHeight="true" outlineLevel="0" collapsed="false">
      <c r="B43" s="34" t="s">
        <v>2188</v>
      </c>
      <c r="C43" s="38" t="n">
        <v>0.0067</v>
      </c>
      <c r="G43" s="34" t="s">
        <v>2189</v>
      </c>
      <c r="H43" s="34" t="s">
        <v>2190</v>
      </c>
    </row>
    <row r="44" customFormat="false" ht="25.5" hidden="false" customHeight="true" outlineLevel="0" collapsed="false">
      <c r="B44" s="34" t="s">
        <v>2191</v>
      </c>
      <c r="C44" s="38" t="n">
        <v>0.12</v>
      </c>
      <c r="G44" s="34" t="s">
        <v>2192</v>
      </c>
      <c r="H44" s="34" t="s">
        <v>2193</v>
      </c>
    </row>
    <row r="45" customFormat="false" ht="14.25" hidden="false" customHeight="true" outlineLevel="0" collapsed="false">
      <c r="B45" s="34" t="s">
        <v>2194</v>
      </c>
      <c r="C45" s="38" t="n">
        <v>0.1</v>
      </c>
      <c r="G45" s="34" t="s">
        <v>2195</v>
      </c>
      <c r="H45" s="34" t="s">
        <v>2196</v>
      </c>
    </row>
    <row r="46" customFormat="false" ht="14.25" hidden="false" customHeight="true" outlineLevel="0" collapsed="false">
      <c r="B46" s="34" t="s">
        <v>2197</v>
      </c>
      <c r="C46" s="35" t="n">
        <v>499</v>
      </c>
      <c r="G46" s="34" t="s">
        <v>2198</v>
      </c>
      <c r="H46" s="34" t="s">
        <v>2199</v>
      </c>
    </row>
    <row r="47" customFormat="false" ht="14.25" hidden="false" customHeight="true" outlineLevel="0" collapsed="false">
      <c r="B47" s="34" t="s">
        <v>2200</v>
      </c>
      <c r="C47" s="38" t="n">
        <v>0.5</v>
      </c>
      <c r="G47" s="34" t="s">
        <v>2198</v>
      </c>
      <c r="H47" s="34" t="s">
        <v>2199</v>
      </c>
    </row>
    <row r="48" customFormat="false" ht="14.25" hidden="false" customHeight="true" outlineLevel="0" collapsed="false">
      <c r="B48" s="34" t="s">
        <v>2201</v>
      </c>
      <c r="C48" s="35" t="n">
        <v>29</v>
      </c>
      <c r="G48" s="34" t="s">
        <v>2202</v>
      </c>
      <c r="H48" s="34" t="s">
        <v>2203</v>
      </c>
    </row>
    <row r="49" customFormat="false" ht="14.25" hidden="false" customHeight="true" outlineLevel="0" collapsed="false">
      <c r="B49" s="34" t="s">
        <v>2204</v>
      </c>
      <c r="C49" s="35" t="n">
        <v>29.75</v>
      </c>
      <c r="G49" s="34" t="s">
        <v>2198</v>
      </c>
      <c r="H49" s="34" t="s">
        <v>2205</v>
      </c>
    </row>
    <row r="50" customFormat="false" ht="14.25" hidden="false" customHeight="true" outlineLevel="0" collapsed="false">
      <c r="B50" s="34" t="s">
        <v>2206</v>
      </c>
      <c r="C50" s="35" t="n">
        <v>7</v>
      </c>
      <c r="G50" s="34" t="s">
        <v>2207</v>
      </c>
      <c r="H50" s="34" t="s">
        <v>2208</v>
      </c>
    </row>
    <row r="51" customFormat="false" ht="14.25" hidden="false" customHeight="true" outlineLevel="0" collapsed="false">
      <c r="B51" s="34" t="s">
        <v>2209</v>
      </c>
      <c r="C51" s="35" t="n">
        <v>16</v>
      </c>
      <c r="G51" s="34" t="s">
        <v>2207</v>
      </c>
      <c r="H51" s="34" t="s">
        <v>2208</v>
      </c>
    </row>
    <row r="52" customFormat="false" ht="25.5" hidden="false" customHeight="true" outlineLevel="0" collapsed="false">
      <c r="B52" s="34" t="s">
        <v>2210</v>
      </c>
      <c r="C52" s="38" t="n">
        <v>0.015</v>
      </c>
      <c r="G52" s="34" t="s">
        <v>2211</v>
      </c>
      <c r="H52" s="34" t="s">
        <v>2212</v>
      </c>
    </row>
    <row r="53" customFormat="false" ht="14.25" hidden="false" customHeight="true" outlineLevel="0" collapsed="false">
      <c r="B53" s="34" t="s">
        <v>2213</v>
      </c>
      <c r="C53" s="39" t="n">
        <v>10000</v>
      </c>
      <c r="G53" s="34" t="s">
        <v>2214</v>
      </c>
      <c r="H53" s="34" t="s">
        <v>2212</v>
      </c>
    </row>
    <row r="54" customFormat="false" ht="14.25" hidden="false" customHeight="true" outlineLevel="0" collapsed="false"/>
    <row r="55" customFormat="false" ht="14.25" hidden="false" customHeight="true" outlineLevel="0" collapsed="false">
      <c r="B55" s="33" t="s">
        <v>2215</v>
      </c>
      <c r="C55" s="4"/>
      <c r="D55" s="4"/>
      <c r="E55" s="4"/>
      <c r="F55" s="4"/>
      <c r="G55" s="4"/>
      <c r="H55" s="4"/>
    </row>
    <row r="56" customFormat="false" ht="14.25" hidden="false" customHeight="true" outlineLevel="0" collapsed="false">
      <c r="B56" s="22" t="s">
        <v>2216</v>
      </c>
      <c r="C56" s="22" t="s">
        <v>2125</v>
      </c>
      <c r="D56" s="22" t="s">
        <v>2126</v>
      </c>
      <c r="E56" s="22" t="s">
        <v>2127</v>
      </c>
      <c r="F56" s="22" t="s">
        <v>2128</v>
      </c>
      <c r="G56" s="22" t="s">
        <v>2217</v>
      </c>
      <c r="H56" s="22" t="s">
        <v>2218</v>
      </c>
    </row>
    <row r="57" customFormat="false" ht="25.5" hidden="false" customHeight="true" outlineLevel="0" collapsed="false">
      <c r="B57" s="34" t="s">
        <v>2219</v>
      </c>
      <c r="C57" s="40" t="n">
        <f aca="false">C$12*C$17*C$18*C$19*$C$37/1000*$C$7</f>
        <v>0.2664</v>
      </c>
      <c r="D57" s="40" t="n">
        <f aca="false">D$12*D$17*D$18*D$19*$C$37/1000*$C$7</f>
        <v>7.104</v>
      </c>
      <c r="E57" s="40" t="n">
        <f aca="false">E$12*E$17*E$18*E$19*$C$37/1000*$C$7</f>
        <v>71.04</v>
      </c>
      <c r="F57" s="40" t="n">
        <f aca="false">F$12*F$17*F$18*F$19*$C$37/1000*$C$7</f>
        <v>399.6</v>
      </c>
      <c r="G57" s="34" t="s">
        <v>278</v>
      </c>
      <c r="H57" s="34" t="s">
        <v>2220</v>
      </c>
    </row>
    <row r="58" customFormat="false" ht="14.25" hidden="false" customHeight="true" outlineLevel="0" collapsed="false">
      <c r="B58" s="34" t="s">
        <v>2221</v>
      </c>
      <c r="C58" s="40" t="n">
        <f aca="false">C$12*C$20*((1-C$23)*(C$21*$C$39+C$22*$C$40)+C$23*(C$21*$C$41+C$22*$C$42))/1000000*$C$7</f>
        <v>2.849</v>
      </c>
      <c r="D58" s="40" t="n">
        <f aca="false">D$12*D$20*((1-D$23)*(D$21*$C$39+D$22*$C$40)+D$23*(D$21*$C$41+D$22*$C$42))/1000000*$C$7</f>
        <v>227.92</v>
      </c>
      <c r="E58" s="40" t="n">
        <f aca="false">E$12*E$20*((1-E$23)*(E$21*$C$39+E$22*$C$40)+E$23*(E$21*$C$41+E$22*$C$42))/1000000*$C$7</f>
        <v>3418.8</v>
      </c>
      <c r="F58" s="40" t="n">
        <f aca="false">F$12*F$20*((1-F$23)*(F$21*$C$39+F$22*$C$40)+F$23*(F$21*$C$41+F$22*$C$42))/1000000*$C$7</f>
        <v>34188</v>
      </c>
      <c r="G58" s="34" t="s">
        <v>298</v>
      </c>
      <c r="H58" s="34" t="s">
        <v>2222</v>
      </c>
    </row>
    <row r="59" customFormat="false" ht="14.25" hidden="false" customHeight="true" outlineLevel="0" collapsed="false">
      <c r="B59" s="34" t="s">
        <v>2223</v>
      </c>
      <c r="C59" s="40" t="n">
        <f aca="false">C$13*C$14*C$15*C$16*$C$43*$C$7</f>
        <v>3.7185</v>
      </c>
      <c r="D59" s="40" t="n">
        <f aca="false">D$13*D$14*D$15*D$16*$C$43*$C$7</f>
        <v>92.9625</v>
      </c>
      <c r="E59" s="40" t="n">
        <f aca="false">E$13*E$14*E$15*E$16*$C$43*$C$7</f>
        <v>1003.995</v>
      </c>
      <c r="F59" s="40" t="n">
        <f aca="false">F$13*F$14*F$15*F$16*$C$43*$C$7</f>
        <v>7808.85</v>
      </c>
      <c r="G59" s="34" t="s">
        <v>524</v>
      </c>
      <c r="H59" s="34" t="s">
        <v>2224</v>
      </c>
    </row>
    <row r="60" customFormat="false" ht="14.25" hidden="false" customHeight="true" outlineLevel="0" collapsed="false">
      <c r="B60" s="34" t="s">
        <v>2225</v>
      </c>
      <c r="C60" s="40" t="n">
        <f aca="false">C$13*C$24*$C$44</f>
        <v>6</v>
      </c>
      <c r="D60" s="40" t="n">
        <f aca="false">D$13*D$24*$C$44</f>
        <v>1200</v>
      </c>
      <c r="E60" s="40" t="n">
        <f aca="false">E$13*E$24*$C$44</f>
        <v>7200</v>
      </c>
      <c r="F60" s="40" t="n">
        <f aca="false">F$13*F$24*$C$44</f>
        <v>36000</v>
      </c>
      <c r="G60" s="34" t="s">
        <v>128</v>
      </c>
      <c r="H60" s="34" t="s">
        <v>2226</v>
      </c>
    </row>
    <row r="61" customFormat="false" ht="14.25" hidden="false" customHeight="true" outlineLevel="0" collapsed="false">
      <c r="B61" s="34" t="s">
        <v>2227</v>
      </c>
      <c r="C61" s="40" t="n">
        <f aca="false">C$12*C$25*$C$45/1000*$C$7</f>
        <v>0.074</v>
      </c>
      <c r="D61" s="40" t="n">
        <f aca="false">D$12*D$25*$C$45/1000*$C$7</f>
        <v>2.96</v>
      </c>
      <c r="E61" s="40" t="n">
        <f aca="false">E$12*E$25*$C$45/1000*$C$7</f>
        <v>29.6</v>
      </c>
      <c r="F61" s="40" t="n">
        <f aca="false">F$12*F$25*$C$45/1000*$C$7</f>
        <v>222</v>
      </c>
      <c r="G61" s="34" t="s">
        <v>454</v>
      </c>
      <c r="H61" s="34" t="s">
        <v>2228</v>
      </c>
    </row>
    <row r="62" customFormat="false" ht="14.25" hidden="false" customHeight="true" outlineLevel="0" collapsed="false">
      <c r="B62" s="34" t="s">
        <v>2229</v>
      </c>
      <c r="C62" s="40" t="n">
        <f aca="false">IF(C$12*C$26&gt;0,($C$46+MAX(0,C$12*C$26-500)*$C$47)*$C$8,0)</f>
        <v>0</v>
      </c>
      <c r="D62" s="40" t="n">
        <f aca="false">IF(D$12*D$26&gt;0,($C$46+MAX(0,D$12*D$26-500)*$C$47)*$C$8,0)</f>
        <v>0</v>
      </c>
      <c r="E62" s="40" t="n">
        <f aca="false">IF(E$12*E$26&gt;0,($C$46+MAX(0,E$12*E$26-500)*$C$47)*$C$8,0)</f>
        <v>5308.25</v>
      </c>
      <c r="F62" s="40" t="n">
        <f aca="false">IF(F$12*F$26&gt;0,($C$46+MAX(0,F$12*F$26-500)*$C$47)*$C$8,0)</f>
        <v>48870.75</v>
      </c>
      <c r="G62" s="34" t="s">
        <v>376</v>
      </c>
      <c r="H62" s="34" t="s">
        <v>2230</v>
      </c>
    </row>
    <row r="63" customFormat="false" ht="14.25" hidden="false" customHeight="true" outlineLevel="0" collapsed="false">
      <c r="B63" s="34" t="s">
        <v>2231</v>
      </c>
      <c r="C63" s="40" t="n">
        <f aca="false">C$28*$C$48*$C$7</f>
        <v>0</v>
      </c>
      <c r="D63" s="40" t="n">
        <f aca="false">D$28*$C$48*$C$7</f>
        <v>0</v>
      </c>
      <c r="E63" s="40" t="n">
        <f aca="false">E$28*$C$48*$C$7</f>
        <v>107.3</v>
      </c>
      <c r="F63" s="40" t="n">
        <f aca="false">F$28*$C$48*$C$7</f>
        <v>107.3</v>
      </c>
      <c r="G63" s="34" t="s">
        <v>935</v>
      </c>
      <c r="H63" s="34" t="s">
        <v>2232</v>
      </c>
    </row>
    <row r="64" customFormat="false" ht="14.25" hidden="false" customHeight="true" outlineLevel="0" collapsed="false">
      <c r="B64" s="34" t="s">
        <v>2233</v>
      </c>
      <c r="C64" s="40" t="n">
        <f aca="false">C$29*$C$49*$C$8</f>
        <v>0</v>
      </c>
      <c r="D64" s="40" t="n">
        <f aca="false">D$29*$C$49*$C$8</f>
        <v>126.4375</v>
      </c>
      <c r="E64" s="40" t="n">
        <f aca="false">E$29*$C$49*$C$8</f>
        <v>126.4375</v>
      </c>
      <c r="F64" s="40" t="n">
        <f aca="false">F$29*$C$49*$C$8</f>
        <v>126.4375</v>
      </c>
      <c r="G64" s="34" t="s">
        <v>706</v>
      </c>
      <c r="H64" s="34" t="s">
        <v>2232</v>
      </c>
    </row>
    <row r="65" customFormat="false" ht="14.25" hidden="false" customHeight="true" outlineLevel="0" collapsed="false">
      <c r="B65" s="34" t="s">
        <v>2234</v>
      </c>
      <c r="C65" s="40" t="n">
        <f aca="false">C$27*IF(C$27&lt;=5,$C$50,$C$51)*$C$8</f>
        <v>0</v>
      </c>
      <c r="D65" s="40" t="n">
        <f aca="false">D$27*IF(D$27&lt;=5,$C$50,$C$51)*$C$8</f>
        <v>59.5</v>
      </c>
      <c r="E65" s="40" t="n">
        <f aca="false">E$27*IF(E$27&lt;=5,$C$50,$C$51)*$C$8</f>
        <v>148.75</v>
      </c>
      <c r="F65" s="40" t="n">
        <f aca="false">F$27*IF(F$27&lt;=5,$C$50,$C$51)*$C$8</f>
        <v>1020</v>
      </c>
      <c r="G65" s="34" t="s">
        <v>756</v>
      </c>
      <c r="H65" s="34" t="s">
        <v>2235</v>
      </c>
    </row>
    <row r="66" customFormat="false" ht="14.25" hidden="false" customHeight="true" outlineLevel="0" collapsed="false">
      <c r="B66" s="34" t="s">
        <v>2236</v>
      </c>
      <c r="C66" s="40" t="n">
        <f aca="false">C$30*$C$7</f>
        <v>0</v>
      </c>
      <c r="D66" s="40" t="n">
        <f aca="false">D$30*$C$7</f>
        <v>736.3</v>
      </c>
      <c r="E66" s="40" t="n">
        <f aca="false">E$30*$C$7</f>
        <v>736.3</v>
      </c>
      <c r="F66" s="40" t="n">
        <f aca="false">F$30*$C$7</f>
        <v>736.3</v>
      </c>
      <c r="G66" s="34" t="s">
        <v>1145</v>
      </c>
      <c r="H66" s="34" t="s">
        <v>2237</v>
      </c>
    </row>
    <row r="67" customFormat="false" ht="14.25" hidden="false" customHeight="true" outlineLevel="0" collapsed="false">
      <c r="B67" s="34" t="s">
        <v>2238</v>
      </c>
      <c r="C67" s="40" t="n">
        <f aca="false">C$31</f>
        <v>100</v>
      </c>
      <c r="D67" s="40" t="n">
        <f aca="false">D$31</f>
        <v>800</v>
      </c>
      <c r="E67" s="40" t="n">
        <f aca="false">E$31</f>
        <v>2000</v>
      </c>
      <c r="F67" s="40" t="n">
        <f aca="false">F$31</f>
        <v>8000</v>
      </c>
      <c r="G67" s="34" t="s">
        <v>240</v>
      </c>
      <c r="H67" s="34" t="s">
        <v>2239</v>
      </c>
    </row>
    <row r="68" customFormat="false" ht="14.25" hidden="false" customHeight="true" outlineLevel="0" collapsed="false">
      <c r="B68" s="34" t="s">
        <v>2240</v>
      </c>
      <c r="C68" s="40" t="n">
        <f aca="false">C$32</f>
        <v>0</v>
      </c>
      <c r="D68" s="40" t="n">
        <f aca="false">D$32</f>
        <v>350</v>
      </c>
      <c r="E68" s="40" t="n">
        <f aca="false">E$32</f>
        <v>600</v>
      </c>
      <c r="F68" s="40" t="n">
        <f aca="false">F$32</f>
        <v>1500</v>
      </c>
      <c r="G68" s="34" t="s">
        <v>506</v>
      </c>
      <c r="H68" s="34" t="s">
        <v>2239</v>
      </c>
    </row>
    <row r="69" customFormat="false" ht="14.25" hidden="false" customHeight="true" outlineLevel="0" collapsed="false">
      <c r="B69" s="34" t="s">
        <v>2241</v>
      </c>
      <c r="C69" s="40" t="n">
        <f aca="false">C$33</f>
        <v>0</v>
      </c>
      <c r="D69" s="40" t="n">
        <f aca="false">D$33</f>
        <v>400</v>
      </c>
      <c r="E69" s="40" t="n">
        <f aca="false">E$33</f>
        <v>1000</v>
      </c>
      <c r="F69" s="40" t="n">
        <f aca="false">F$33</f>
        <v>3000</v>
      </c>
      <c r="G69" s="34" t="s">
        <v>2242</v>
      </c>
      <c r="H69" s="34" t="s">
        <v>2239</v>
      </c>
    </row>
    <row r="70" customFormat="false" ht="14.25" hidden="false" customHeight="true" outlineLevel="0" collapsed="false">
      <c r="B70" s="41" t="s">
        <v>2243</v>
      </c>
      <c r="C70" s="42" t="n">
        <f aca="false">SUM(C57:C69)</f>
        <v>112.9079</v>
      </c>
      <c r="D70" s="42" t="n">
        <f aca="false">SUM(D57:D69)</f>
        <v>4003.184</v>
      </c>
      <c r="E70" s="42" t="n">
        <f aca="false">SUM(E57:E69)</f>
        <v>21750.4725</v>
      </c>
      <c r="F70" s="42" t="n">
        <f aca="false">SUM(F57:F69)</f>
        <v>141979.2375</v>
      </c>
    </row>
    <row r="71" customFormat="false" ht="14.25" hidden="false" customHeight="true" outlineLevel="0" collapsed="false">
      <c r="B71" s="34" t="s">
        <v>2244</v>
      </c>
      <c r="C71" s="43" t="n">
        <f aca="false">IF(C$12&gt;0,C70/C$12,0)</f>
        <v>2.258158</v>
      </c>
      <c r="D71" s="43" t="n">
        <f aca="false">IF(D$12&gt;0,D70/D$12,0)</f>
        <v>2.001592</v>
      </c>
      <c r="E71" s="43" t="n">
        <f aca="false">IF(E$12&gt;0,E70/E$12,0)</f>
        <v>1.087523625</v>
      </c>
      <c r="F71" s="43" t="n">
        <f aca="false">IF(F$12&gt;0,F70/F$12,0)</f>
        <v>0.94652825</v>
      </c>
    </row>
    <row r="72" customFormat="false" ht="14.25" hidden="false" customHeight="true" outlineLevel="0" collapsed="false"/>
    <row r="73" customFormat="false" ht="25.5" hidden="false" customHeight="true" outlineLevel="0" collapsed="false">
      <c r="B73" s="33" t="s">
        <v>2245</v>
      </c>
      <c r="C73" s="4"/>
      <c r="D73" s="4"/>
      <c r="E73" s="4"/>
      <c r="F73" s="4"/>
      <c r="G73" s="4"/>
      <c r="H73" s="4"/>
    </row>
    <row r="74" customFormat="false" ht="14.25" hidden="false" customHeight="true" outlineLevel="0" collapsed="false">
      <c r="B74" s="22" t="s">
        <v>2246</v>
      </c>
      <c r="C74" s="22" t="s">
        <v>2125</v>
      </c>
      <c r="D74" s="22" t="s">
        <v>2126</v>
      </c>
      <c r="E74" s="22" t="s">
        <v>2127</v>
      </c>
      <c r="F74" s="22" t="s">
        <v>2128</v>
      </c>
      <c r="G74" s="22" t="s">
        <v>2247</v>
      </c>
      <c r="H74" s="22" t="s">
        <v>2218</v>
      </c>
    </row>
    <row r="75" customFormat="false" ht="25.5" hidden="false" customHeight="true" outlineLevel="0" collapsed="false">
      <c r="B75" s="34" t="s">
        <v>2248</v>
      </c>
      <c r="C75" s="40" t="n">
        <f aca="false">MAX(0,C$12-$C$53)*$C$52*$C$7</f>
        <v>0</v>
      </c>
      <c r="D75" s="40" t="n">
        <f aca="false">MAX(0,D$12-$C$53)*$C$52*$C$7</f>
        <v>0</v>
      </c>
      <c r="E75" s="40" t="n">
        <f aca="false">MAX(0,E$12-$C$53)*$C$52*$C$7</f>
        <v>555</v>
      </c>
      <c r="F75" s="40" t="n">
        <f aca="false">MAX(0,F$12-$C$53)*$C$52*$C$7</f>
        <v>7770</v>
      </c>
      <c r="G75" s="34" t="s">
        <v>108</v>
      </c>
      <c r="H75" s="34" t="s">
        <v>2249</v>
      </c>
    </row>
    <row r="76" customFormat="false" ht="14.25" hidden="false" customHeight="true" outlineLevel="0" collapsed="false">
      <c r="B76" s="34" t="s">
        <v>2250</v>
      </c>
      <c r="C76" s="40" t="n">
        <f aca="false">C$12*C$17*C$18*C$19*$C$38/1000*$C$7</f>
        <v>0.0999</v>
      </c>
      <c r="D76" s="40" t="n">
        <f aca="false">D$12*D$17*D$18*D$19*$C$38/1000*$C$7</f>
        <v>2.664</v>
      </c>
      <c r="E76" s="40" t="n">
        <f aca="false">E$12*E$17*E$18*E$19*$C$38/1000*$C$7</f>
        <v>26.64</v>
      </c>
      <c r="F76" s="40" t="n">
        <f aca="false">F$12*F$17*F$18*F$19*$C$38/1000*$C$7</f>
        <v>149.85</v>
      </c>
      <c r="G76" s="34" t="s">
        <v>278</v>
      </c>
      <c r="H76" s="34" t="s">
        <v>2251</v>
      </c>
    </row>
    <row r="77" customFormat="false" ht="14.25" hidden="false" customHeight="true" outlineLevel="0" collapsed="false"/>
    <row r="78" customFormat="false" ht="25.5" hidden="false" customHeight="true" outlineLevel="0" collapsed="false">
      <c r="B78" s="33" t="s">
        <v>2252</v>
      </c>
      <c r="C78" s="4"/>
      <c r="D78" s="4"/>
      <c r="E78" s="4"/>
      <c r="F78" s="4"/>
      <c r="G78" s="4"/>
      <c r="H78" s="4"/>
    </row>
    <row r="79" customFormat="false" ht="13.5" hidden="false" customHeight="true" outlineLevel="0" collapsed="false">
      <c r="B79" s="34" t="s">
        <v>2253</v>
      </c>
      <c r="C79" s="34"/>
      <c r="D79" s="34"/>
      <c r="E79" s="34"/>
      <c r="F79" s="34"/>
      <c r="G79" s="34"/>
      <c r="H79" s="34"/>
    </row>
    <row r="80" customFormat="false" ht="13.5" hidden="false" customHeight="true" outlineLevel="0" collapsed="false">
      <c r="B80" s="34" t="s">
        <v>2254</v>
      </c>
      <c r="C80" s="34"/>
      <c r="D80" s="34"/>
      <c r="E80" s="34"/>
      <c r="F80" s="34"/>
      <c r="G80" s="34"/>
      <c r="H80" s="34"/>
    </row>
    <row r="81" customFormat="false" ht="13.5" hidden="false" customHeight="true" outlineLevel="0" collapsed="false">
      <c r="B81" s="34" t="s">
        <v>2255</v>
      </c>
      <c r="C81" s="34"/>
      <c r="D81" s="34"/>
      <c r="E81" s="34"/>
      <c r="F81" s="34"/>
      <c r="G81" s="34"/>
      <c r="H81" s="34"/>
    </row>
    <row r="82" customFormat="false" ht="13.5" hidden="false" customHeight="true" outlineLevel="0" collapsed="false">
      <c r="B82" s="34" t="s">
        <v>2256</v>
      </c>
      <c r="C82" s="34"/>
      <c r="D82" s="34"/>
      <c r="E82" s="34"/>
      <c r="F82" s="34"/>
      <c r="G82" s="34"/>
      <c r="H82" s="34"/>
    </row>
    <row r="83" customFormat="false" ht="13.5" hidden="false" customHeight="true" outlineLevel="0" collapsed="false">
      <c r="B83" s="34" t="s">
        <v>2257</v>
      </c>
      <c r="C83" s="34"/>
      <c r="D83" s="34"/>
      <c r="E83" s="34"/>
      <c r="F83" s="34"/>
      <c r="G83" s="34"/>
      <c r="H83" s="34"/>
    </row>
    <row r="84" customFormat="false" ht="13.5" hidden="false" customHeight="true" outlineLevel="0" collapsed="false">
      <c r="B84" s="34" t="s">
        <v>2258</v>
      </c>
      <c r="C84" s="34"/>
      <c r="D84" s="34"/>
      <c r="E84" s="34"/>
      <c r="F84" s="34"/>
      <c r="G84" s="34"/>
      <c r="H84" s="34"/>
    </row>
  </sheetData>
  <mergeCells count="6">
    <mergeCell ref="B79:H79"/>
    <mergeCell ref="B80:H80"/>
    <mergeCell ref="B81:H81"/>
    <mergeCell ref="B82:H82"/>
    <mergeCell ref="B83:H83"/>
    <mergeCell ref="B84:H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46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36"/>
    <col collapsed="false" customWidth="true" hidden="false" outlineLevel="0" max="8" min="8" style="0" width="9"/>
  </cols>
  <sheetData>
    <row r="1" customFormat="false" ht="17.35" hidden="false" customHeight="false" outlineLevel="0" collapsed="false">
      <c r="A1" s="1" t="s">
        <v>2259</v>
      </c>
    </row>
    <row r="2" customFormat="false" ht="15" hidden="false" customHeight="false" outlineLevel="0" collapsed="false">
      <c r="A2" s="2" t="s">
        <v>2260</v>
      </c>
    </row>
    <row r="5" customFormat="false" ht="48" hidden="false" customHeight="true" outlineLevel="0" collapsed="false">
      <c r="A5" s="22" t="s">
        <v>2261</v>
      </c>
      <c r="B5" s="22" t="s">
        <v>2262</v>
      </c>
      <c r="C5" s="22" t="s">
        <v>2263</v>
      </c>
      <c r="D5" s="22" t="s">
        <v>2264</v>
      </c>
      <c r="E5" s="22" t="s">
        <v>2265</v>
      </c>
      <c r="F5" s="22" t="s">
        <v>2266</v>
      </c>
      <c r="G5" s="22" t="s">
        <v>2267</v>
      </c>
      <c r="H5" s="22" t="s">
        <v>2268</v>
      </c>
    </row>
    <row r="6" customFormat="false" ht="37.5" hidden="false" customHeight="true" outlineLevel="0" collapsed="false">
      <c r="A6" s="27" t="n">
        <v>1</v>
      </c>
      <c r="B6" s="27" t="s">
        <v>2269</v>
      </c>
      <c r="C6" s="25" t="s">
        <v>2270</v>
      </c>
      <c r="D6" s="27" t="s">
        <v>336</v>
      </c>
      <c r="E6" s="26" t="s">
        <v>1521</v>
      </c>
      <c r="F6" s="26" t="s">
        <v>2271</v>
      </c>
      <c r="G6" s="26" t="s">
        <v>2272</v>
      </c>
      <c r="H6" s="27" t="s">
        <v>2273</v>
      </c>
    </row>
    <row r="7" customFormat="false" ht="48.75" hidden="false" customHeight="true" outlineLevel="0" collapsed="false">
      <c r="A7" s="27" t="n">
        <v>2</v>
      </c>
      <c r="B7" s="27" t="s">
        <v>2274</v>
      </c>
      <c r="C7" s="25" t="s">
        <v>2275</v>
      </c>
      <c r="D7" s="27" t="s">
        <v>376</v>
      </c>
      <c r="E7" s="26" t="s">
        <v>2276</v>
      </c>
      <c r="F7" s="26" t="s">
        <v>2277</v>
      </c>
      <c r="G7" s="26" t="s">
        <v>2278</v>
      </c>
      <c r="H7" s="27" t="s">
        <v>2279</v>
      </c>
    </row>
    <row r="8" customFormat="false" ht="37.5" hidden="false" customHeight="true" outlineLevel="0" collapsed="false">
      <c r="A8" s="27" t="n">
        <v>3</v>
      </c>
      <c r="B8" s="27" t="s">
        <v>2280</v>
      </c>
      <c r="C8" s="25" t="s">
        <v>2281</v>
      </c>
      <c r="D8" s="27" t="s">
        <v>376</v>
      </c>
      <c r="E8" s="26" t="s">
        <v>2282</v>
      </c>
      <c r="F8" s="26" t="s">
        <v>2283</v>
      </c>
      <c r="G8" s="26" t="s">
        <v>2284</v>
      </c>
      <c r="H8" s="27" t="s">
        <v>2285</v>
      </c>
    </row>
    <row r="9" customFormat="false" ht="25.5" hidden="false" customHeight="true" outlineLevel="0" collapsed="false">
      <c r="A9" s="27" t="n">
        <v>4</v>
      </c>
      <c r="B9" s="27" t="s">
        <v>2286</v>
      </c>
      <c r="C9" s="25" t="s">
        <v>2287</v>
      </c>
      <c r="D9" s="27" t="s">
        <v>738</v>
      </c>
      <c r="E9" s="26" t="s">
        <v>1700</v>
      </c>
      <c r="F9" s="26" t="s">
        <v>2288</v>
      </c>
      <c r="G9" s="26" t="s">
        <v>2289</v>
      </c>
      <c r="H9" s="27" t="s">
        <v>1240</v>
      </c>
    </row>
    <row r="10" customFormat="false" ht="72" hidden="false" customHeight="true" outlineLevel="0" collapsed="false">
      <c r="A10" s="27" t="n">
        <v>5</v>
      </c>
      <c r="B10" s="27" t="s">
        <v>2290</v>
      </c>
      <c r="C10" s="25" t="s">
        <v>2291</v>
      </c>
      <c r="D10" s="27" t="s">
        <v>2292</v>
      </c>
      <c r="E10" s="26" t="s">
        <v>2293</v>
      </c>
      <c r="F10" s="26" t="s">
        <v>2294</v>
      </c>
      <c r="G10" s="26" t="s">
        <v>2295</v>
      </c>
      <c r="H10" s="27" t="s">
        <v>2296</v>
      </c>
    </row>
    <row r="11" customFormat="false" ht="37.5" hidden="false" customHeight="true" outlineLevel="0" collapsed="false">
      <c r="A11" s="27" t="n">
        <v>6</v>
      </c>
      <c r="B11" s="27" t="s">
        <v>2297</v>
      </c>
      <c r="C11" s="25" t="s">
        <v>2298</v>
      </c>
      <c r="D11" s="27" t="s">
        <v>589</v>
      </c>
      <c r="E11" s="26" t="s">
        <v>1557</v>
      </c>
      <c r="F11" s="26" t="s">
        <v>2299</v>
      </c>
      <c r="G11" s="26" t="s">
        <v>2300</v>
      </c>
      <c r="H11" s="27" t="s">
        <v>2301</v>
      </c>
    </row>
    <row r="12" customFormat="false" ht="25.5" hidden="false" customHeight="true" outlineLevel="0" collapsed="false">
      <c r="A12" s="27" t="n">
        <v>7</v>
      </c>
      <c r="B12" s="27" t="s">
        <v>2302</v>
      </c>
      <c r="C12" s="25" t="s">
        <v>2303</v>
      </c>
      <c r="D12" s="27" t="s">
        <v>278</v>
      </c>
      <c r="E12" s="26" t="s">
        <v>2304</v>
      </c>
      <c r="F12" s="26" t="s">
        <v>2305</v>
      </c>
      <c r="G12" s="26" t="s">
        <v>2306</v>
      </c>
      <c r="H12" s="27" t="s">
        <v>2307</v>
      </c>
    </row>
    <row r="13" customFormat="false" ht="25.5" hidden="false" customHeight="true" outlineLevel="0" collapsed="false">
      <c r="A13" s="27" t="n">
        <v>8</v>
      </c>
      <c r="B13" s="27" t="s">
        <v>2308</v>
      </c>
      <c r="C13" s="25" t="s">
        <v>2309</v>
      </c>
      <c r="D13" s="27" t="s">
        <v>240</v>
      </c>
      <c r="E13" s="26" t="s">
        <v>1476</v>
      </c>
      <c r="F13" s="26" t="s">
        <v>2310</v>
      </c>
      <c r="G13" s="26" t="s">
        <v>2311</v>
      </c>
      <c r="H13" s="27" t="s">
        <v>2312</v>
      </c>
    </row>
    <row r="14" customFormat="false" ht="25.5" hidden="false" customHeight="true" outlineLevel="0" collapsed="false">
      <c r="A14" s="27" t="n">
        <v>9</v>
      </c>
      <c r="B14" s="27" t="s">
        <v>2313</v>
      </c>
      <c r="C14" s="25" t="s">
        <v>2314</v>
      </c>
      <c r="D14" s="27" t="s">
        <v>376</v>
      </c>
      <c r="E14" s="26" t="s">
        <v>2315</v>
      </c>
      <c r="F14" s="26" t="s">
        <v>2316</v>
      </c>
      <c r="G14" s="26" t="s">
        <v>2317</v>
      </c>
      <c r="H14" s="27" t="s">
        <v>2318</v>
      </c>
    </row>
    <row r="15" customFormat="false" ht="25.5" hidden="false" customHeight="true" outlineLevel="0" collapsed="false">
      <c r="A15" s="27" t="n">
        <v>10</v>
      </c>
      <c r="B15" s="27" t="s">
        <v>2319</v>
      </c>
      <c r="C15" s="25" t="s">
        <v>2320</v>
      </c>
      <c r="D15" s="27" t="s">
        <v>772</v>
      </c>
      <c r="E15" s="26" t="s">
        <v>1681</v>
      </c>
      <c r="F15" s="26" t="s">
        <v>2321</v>
      </c>
      <c r="G15" s="26" t="s">
        <v>2322</v>
      </c>
      <c r="H15" s="27" t="s">
        <v>2323</v>
      </c>
    </row>
    <row r="16" customFormat="false" ht="25.5" hidden="false" customHeight="true" outlineLevel="0" collapsed="false">
      <c r="A16" s="27" t="n">
        <v>11</v>
      </c>
      <c r="B16" s="27" t="s">
        <v>2324</v>
      </c>
      <c r="C16" s="25" t="s">
        <v>2325</v>
      </c>
      <c r="D16" s="27" t="s">
        <v>166</v>
      </c>
      <c r="E16" s="26" t="s">
        <v>2326</v>
      </c>
      <c r="F16" s="26" t="s">
        <v>2327</v>
      </c>
      <c r="G16" s="26" t="s">
        <v>2328</v>
      </c>
      <c r="H16" s="27" t="s">
        <v>2329</v>
      </c>
    </row>
    <row r="17" customFormat="false" ht="25.5" hidden="false" customHeight="true" outlineLevel="0" collapsed="false">
      <c r="A17" s="27" t="n">
        <v>12</v>
      </c>
      <c r="B17" s="27" t="s">
        <v>2330</v>
      </c>
      <c r="C17" s="25" t="s">
        <v>2331</v>
      </c>
      <c r="D17" s="27" t="s">
        <v>108</v>
      </c>
      <c r="E17" s="26" t="s">
        <v>2332</v>
      </c>
      <c r="F17" s="26" t="s">
        <v>2333</v>
      </c>
      <c r="G17" s="26" t="s">
        <v>2334</v>
      </c>
      <c r="H17" s="27" t="s">
        <v>2335</v>
      </c>
    </row>
    <row r="18" customFormat="false" ht="37.5" hidden="false" customHeight="true" outlineLevel="0" collapsed="false">
      <c r="A18" s="27" t="n">
        <v>13</v>
      </c>
      <c r="B18" s="27" t="s">
        <v>2330</v>
      </c>
      <c r="C18" s="25" t="s">
        <v>2336</v>
      </c>
      <c r="D18" s="27" t="s">
        <v>572</v>
      </c>
      <c r="E18" s="26" t="s">
        <v>2337</v>
      </c>
      <c r="F18" s="26" t="s">
        <v>2338</v>
      </c>
      <c r="G18" s="26" t="s">
        <v>2339</v>
      </c>
      <c r="H18" s="27" t="s">
        <v>2340</v>
      </c>
    </row>
    <row r="19" customFormat="false" ht="25.5" hidden="false" customHeight="true" outlineLevel="0" collapsed="false">
      <c r="A19" s="27" t="n">
        <v>14</v>
      </c>
      <c r="B19" s="27" t="s">
        <v>2341</v>
      </c>
      <c r="C19" s="25" t="s">
        <v>2342</v>
      </c>
      <c r="D19" s="27" t="s">
        <v>2343</v>
      </c>
      <c r="E19" s="26" t="s">
        <v>2344</v>
      </c>
      <c r="F19" s="26" t="s">
        <v>2345</v>
      </c>
      <c r="G19" s="26" t="s">
        <v>2346</v>
      </c>
      <c r="H19" s="27" t="s">
        <v>2347</v>
      </c>
    </row>
    <row r="20" customFormat="false" ht="25.5" hidden="false" customHeight="true" outlineLevel="0" collapsed="false">
      <c r="A20" s="27" t="n">
        <v>15</v>
      </c>
      <c r="B20" s="27" t="s">
        <v>2348</v>
      </c>
      <c r="C20" s="25" t="s">
        <v>2349</v>
      </c>
      <c r="D20" s="27" t="s">
        <v>524</v>
      </c>
      <c r="E20" s="26" t="s">
        <v>1485</v>
      </c>
      <c r="F20" s="26" t="s">
        <v>2350</v>
      </c>
      <c r="G20" s="26" t="s">
        <v>2351</v>
      </c>
      <c r="H20" s="27" t="s">
        <v>2352</v>
      </c>
    </row>
    <row r="21" customFormat="false" ht="37.5" hidden="false" customHeight="true" outlineLevel="0" collapsed="false">
      <c r="A21" s="27" t="n">
        <v>16</v>
      </c>
      <c r="B21" s="27" t="s">
        <v>2353</v>
      </c>
      <c r="C21" s="25" t="s">
        <v>2354</v>
      </c>
      <c r="D21" s="27" t="s">
        <v>454</v>
      </c>
      <c r="E21" s="26" t="s">
        <v>1327</v>
      </c>
      <c r="F21" s="26" t="s">
        <v>2355</v>
      </c>
      <c r="G21" s="26" t="s">
        <v>2356</v>
      </c>
      <c r="H21" s="27" t="s">
        <v>2357</v>
      </c>
    </row>
    <row r="22" customFormat="false" ht="25.5" hidden="false" customHeight="true" outlineLevel="0" collapsed="false">
      <c r="A22" s="27" t="n">
        <v>17</v>
      </c>
      <c r="B22" s="27" t="s">
        <v>2358</v>
      </c>
      <c r="C22" s="25" t="s">
        <v>2359</v>
      </c>
      <c r="D22" s="27" t="s">
        <v>706</v>
      </c>
      <c r="E22" s="26" t="s">
        <v>1711</v>
      </c>
      <c r="F22" s="26" t="s">
        <v>2360</v>
      </c>
      <c r="G22" s="26" t="s">
        <v>2361</v>
      </c>
      <c r="H22" s="27" t="s">
        <v>2362</v>
      </c>
    </row>
    <row r="23" customFormat="false" ht="25.5" hidden="false" customHeight="true" outlineLevel="0" collapsed="false">
      <c r="A23" s="27" t="n">
        <v>18</v>
      </c>
      <c r="B23" s="27" t="s">
        <v>2363</v>
      </c>
      <c r="C23" s="25" t="s">
        <v>2364</v>
      </c>
      <c r="D23" s="27" t="s">
        <v>994</v>
      </c>
      <c r="E23" s="26" t="s">
        <v>1986</v>
      </c>
      <c r="F23" s="26" t="s">
        <v>2365</v>
      </c>
      <c r="G23" s="26" t="s">
        <v>2366</v>
      </c>
      <c r="H23" s="27" t="s">
        <v>2367</v>
      </c>
    </row>
    <row r="24" customFormat="false" ht="25.5" hidden="false" customHeight="true" outlineLevel="0" collapsed="false">
      <c r="A24" s="27" t="n">
        <v>19</v>
      </c>
      <c r="B24" s="27" t="s">
        <v>2358</v>
      </c>
      <c r="C24" s="25" t="s">
        <v>2368</v>
      </c>
      <c r="D24" s="27" t="s">
        <v>982</v>
      </c>
      <c r="E24" s="26" t="s">
        <v>1983</v>
      </c>
      <c r="F24" s="26" t="s">
        <v>151</v>
      </c>
      <c r="G24" s="26" t="s">
        <v>2369</v>
      </c>
      <c r="H24" s="27" t="s">
        <v>2370</v>
      </c>
    </row>
    <row r="25" customFormat="false" ht="25.5" hidden="false" customHeight="true" outlineLevel="0" collapsed="false">
      <c r="A25" s="27" t="n">
        <v>20</v>
      </c>
      <c r="B25" s="27" t="s">
        <v>2371</v>
      </c>
      <c r="C25" s="25" t="s">
        <v>2372</v>
      </c>
      <c r="D25" s="27" t="s">
        <v>951</v>
      </c>
      <c r="E25" s="26" t="s">
        <v>1869</v>
      </c>
      <c r="F25" s="26" t="s">
        <v>2373</v>
      </c>
      <c r="G25" s="26" t="s">
        <v>2374</v>
      </c>
      <c r="H25" s="27" t="s">
        <v>2375</v>
      </c>
    </row>
    <row r="26" customFormat="false" ht="37.5" hidden="false" customHeight="true" outlineLevel="0" collapsed="false">
      <c r="A26" s="27" t="n">
        <v>21</v>
      </c>
      <c r="B26" s="27" t="s">
        <v>2376</v>
      </c>
      <c r="C26" s="25" t="s">
        <v>2377</v>
      </c>
      <c r="D26" s="27" t="s">
        <v>2378</v>
      </c>
      <c r="E26" s="26" t="s">
        <v>2379</v>
      </c>
      <c r="F26" s="26" t="s">
        <v>2380</v>
      </c>
      <c r="G26" s="26" t="s">
        <v>2381</v>
      </c>
      <c r="H26" s="27" t="s">
        <v>2382</v>
      </c>
    </row>
    <row r="27" customFormat="false" ht="25.5" hidden="false" customHeight="true" outlineLevel="0" collapsed="false">
      <c r="A27" s="27" t="n">
        <v>22</v>
      </c>
      <c r="B27" s="27" t="s">
        <v>2383</v>
      </c>
      <c r="C27" s="25" t="s">
        <v>2384</v>
      </c>
      <c r="D27" s="27" t="s">
        <v>298</v>
      </c>
      <c r="E27" s="26" t="s">
        <v>1337</v>
      </c>
      <c r="F27" s="26" t="s">
        <v>2385</v>
      </c>
      <c r="G27" s="26" t="s">
        <v>2386</v>
      </c>
      <c r="H27" s="27" t="s">
        <v>2387</v>
      </c>
    </row>
    <row r="28" customFormat="false" ht="25.5" hidden="false" customHeight="true" outlineLevel="0" collapsed="false">
      <c r="A28" s="27" t="n">
        <v>23</v>
      </c>
      <c r="B28" s="27" t="s">
        <v>2358</v>
      </c>
      <c r="C28" s="25" t="s">
        <v>2388</v>
      </c>
      <c r="D28" s="27" t="s">
        <v>221</v>
      </c>
      <c r="E28" s="26" t="s">
        <v>2389</v>
      </c>
      <c r="F28" s="26" t="s">
        <v>2390</v>
      </c>
      <c r="G28" s="26" t="s">
        <v>2391</v>
      </c>
      <c r="H28" s="27" t="s">
        <v>2392</v>
      </c>
    </row>
    <row r="29" customFormat="false" ht="25.5" hidden="false" customHeight="true" outlineLevel="0" collapsed="false">
      <c r="A29" s="27" t="n">
        <v>24</v>
      </c>
      <c r="B29" s="27" t="s">
        <v>2393</v>
      </c>
      <c r="C29" s="25" t="s">
        <v>2394</v>
      </c>
      <c r="D29" s="27" t="s">
        <v>2395</v>
      </c>
      <c r="E29" s="26" t="s">
        <v>2396</v>
      </c>
      <c r="F29" s="26" t="s">
        <v>2397</v>
      </c>
      <c r="G29" s="26" t="s">
        <v>2398</v>
      </c>
      <c r="H29" s="27" t="s">
        <v>151</v>
      </c>
    </row>
  </sheetData>
  <autoFilter ref="A5:H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4" min="3" style="0" width="6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2399</v>
      </c>
    </row>
    <row r="2" customFormat="false" ht="15" hidden="false" customHeight="false" outlineLevel="0" collapsed="false">
      <c r="A2" s="2" t="s">
        <v>2400</v>
      </c>
    </row>
    <row r="3" customFormat="false" ht="15" hidden="false" customHeight="false" outlineLevel="0" collapsed="false">
      <c r="A3" s="21" t="s">
        <v>2401</v>
      </c>
    </row>
    <row r="5" customFormat="false" ht="48" hidden="false" customHeight="true" outlineLevel="0" collapsed="false">
      <c r="A5" s="22" t="s">
        <v>1134</v>
      </c>
      <c r="B5" s="22" t="s">
        <v>2268</v>
      </c>
      <c r="C5" s="22" t="s">
        <v>2402</v>
      </c>
      <c r="D5" s="22" t="s">
        <v>2403</v>
      </c>
      <c r="E5" s="22" t="s">
        <v>2404</v>
      </c>
    </row>
    <row r="6" customFormat="false" ht="25.5" hidden="false" customHeight="true" outlineLevel="0" collapsed="false">
      <c r="A6" s="24" t="s">
        <v>2405</v>
      </c>
      <c r="B6" s="26" t="s">
        <v>2406</v>
      </c>
      <c r="C6" s="44" t="s">
        <v>2407</v>
      </c>
      <c r="D6" s="26" t="s">
        <v>2408</v>
      </c>
      <c r="E6" s="27" t="s">
        <v>2409</v>
      </c>
    </row>
    <row r="7" customFormat="false" ht="25.5" hidden="false" customHeight="true" outlineLevel="0" collapsed="false">
      <c r="A7" s="24" t="s">
        <v>2392</v>
      </c>
      <c r="B7" s="26" t="s">
        <v>2410</v>
      </c>
      <c r="C7" s="44" t="s">
        <v>2411</v>
      </c>
      <c r="D7" s="26" t="s">
        <v>2412</v>
      </c>
      <c r="E7" s="27" t="s">
        <v>2409</v>
      </c>
    </row>
    <row r="8" customFormat="false" ht="25.5" hidden="false" customHeight="true" outlineLevel="0" collapsed="false">
      <c r="A8" s="24" t="s">
        <v>2307</v>
      </c>
      <c r="B8" s="26" t="s">
        <v>2413</v>
      </c>
      <c r="C8" s="44" t="s">
        <v>2414</v>
      </c>
      <c r="D8" s="26" t="s">
        <v>2415</v>
      </c>
      <c r="E8" s="27" t="s">
        <v>2409</v>
      </c>
    </row>
    <row r="9" customFormat="false" ht="14.25" hidden="false" customHeight="true" outlineLevel="0" collapsed="false">
      <c r="A9" s="24" t="s">
        <v>2416</v>
      </c>
      <c r="B9" s="26" t="s">
        <v>2417</v>
      </c>
      <c r="C9" s="44" t="s">
        <v>2418</v>
      </c>
      <c r="D9" s="26" t="s">
        <v>2419</v>
      </c>
      <c r="E9" s="27" t="s">
        <v>2409</v>
      </c>
    </row>
    <row r="10" customFormat="false" ht="37.5" hidden="false" customHeight="true" outlineLevel="0" collapsed="false">
      <c r="A10" s="24" t="s">
        <v>2420</v>
      </c>
      <c r="B10" s="26" t="s">
        <v>2421</v>
      </c>
      <c r="C10" s="44" t="s">
        <v>2422</v>
      </c>
      <c r="D10" s="26" t="s">
        <v>2423</v>
      </c>
      <c r="E10" s="27" t="s">
        <v>2409</v>
      </c>
    </row>
    <row r="11" customFormat="false" ht="25.5" hidden="false" customHeight="true" outlineLevel="0" collapsed="false">
      <c r="A11" s="24" t="s">
        <v>2424</v>
      </c>
      <c r="B11" s="26" t="s">
        <v>2425</v>
      </c>
      <c r="C11" s="44" t="s">
        <v>2426</v>
      </c>
      <c r="D11" s="26" t="s">
        <v>2427</v>
      </c>
      <c r="E11" s="27" t="s">
        <v>2409</v>
      </c>
    </row>
    <row r="12" customFormat="false" ht="25.5" hidden="false" customHeight="true" outlineLevel="0" collapsed="false">
      <c r="A12" s="24" t="s">
        <v>2428</v>
      </c>
      <c r="B12" s="26" t="s">
        <v>2429</v>
      </c>
      <c r="C12" s="44" t="s">
        <v>2430</v>
      </c>
      <c r="D12" s="26" t="s">
        <v>2431</v>
      </c>
      <c r="E12" s="27" t="s">
        <v>2409</v>
      </c>
    </row>
    <row r="13" customFormat="false" ht="14.25" hidden="false" customHeight="true" outlineLevel="0" collapsed="false">
      <c r="A13" s="24" t="s">
        <v>2347</v>
      </c>
      <c r="B13" s="26" t="s">
        <v>2432</v>
      </c>
      <c r="C13" s="44" t="s">
        <v>2433</v>
      </c>
      <c r="D13" s="26" t="s">
        <v>2434</v>
      </c>
      <c r="E13" s="27" t="s">
        <v>2409</v>
      </c>
    </row>
    <row r="14" customFormat="false" ht="25.5" hidden="false" customHeight="true" outlineLevel="0" collapsed="false">
      <c r="A14" s="24" t="s">
        <v>2296</v>
      </c>
      <c r="B14" s="26" t="s">
        <v>2435</v>
      </c>
      <c r="C14" s="44" t="s">
        <v>2436</v>
      </c>
      <c r="D14" s="26" t="s">
        <v>2437</v>
      </c>
      <c r="E14" s="27" t="s">
        <v>2409</v>
      </c>
    </row>
    <row r="15" customFormat="false" ht="14.25" hidden="false" customHeight="true" outlineLevel="0" collapsed="false">
      <c r="A15" s="24" t="s">
        <v>2438</v>
      </c>
      <c r="B15" s="26" t="s">
        <v>2439</v>
      </c>
      <c r="C15" s="44" t="s">
        <v>2440</v>
      </c>
      <c r="D15" s="26" t="s">
        <v>2441</v>
      </c>
      <c r="E15" s="27" t="s">
        <v>2409</v>
      </c>
    </row>
    <row r="16" customFormat="false" ht="25.5" hidden="false" customHeight="true" outlineLevel="0" collapsed="false">
      <c r="A16" s="24" t="s">
        <v>2340</v>
      </c>
      <c r="B16" s="26" t="s">
        <v>2442</v>
      </c>
      <c r="C16" s="44" t="s">
        <v>2443</v>
      </c>
      <c r="D16" s="26" t="s">
        <v>2444</v>
      </c>
      <c r="E16" s="27" t="s">
        <v>2409</v>
      </c>
    </row>
    <row r="17" customFormat="false" ht="25.5" hidden="false" customHeight="true" outlineLevel="0" collapsed="false">
      <c r="A17" s="24" t="s">
        <v>1240</v>
      </c>
      <c r="B17" s="26" t="s">
        <v>2445</v>
      </c>
      <c r="C17" s="44" t="s">
        <v>2446</v>
      </c>
      <c r="D17" s="26" t="s">
        <v>2447</v>
      </c>
      <c r="E17" s="27" t="s">
        <v>2409</v>
      </c>
    </row>
    <row r="18" customFormat="false" ht="25.5" hidden="false" customHeight="true" outlineLevel="0" collapsed="false">
      <c r="A18" s="24" t="s">
        <v>2448</v>
      </c>
      <c r="B18" s="26" t="s">
        <v>2449</v>
      </c>
      <c r="C18" s="44" t="s">
        <v>2450</v>
      </c>
      <c r="D18" s="26" t="s">
        <v>2451</v>
      </c>
      <c r="E18" s="27" t="s">
        <v>2409</v>
      </c>
    </row>
    <row r="19" customFormat="false" ht="14.25" hidden="false" customHeight="true" outlineLevel="0" collapsed="false">
      <c r="A19" s="24" t="s">
        <v>2452</v>
      </c>
      <c r="B19" s="26" t="s">
        <v>2453</v>
      </c>
      <c r="C19" s="44" t="s">
        <v>2454</v>
      </c>
      <c r="D19" s="26" t="s">
        <v>2455</v>
      </c>
      <c r="E19" s="27" t="s">
        <v>2409</v>
      </c>
    </row>
    <row r="20" customFormat="false" ht="25.5" hidden="false" customHeight="true" outlineLevel="0" collapsed="false">
      <c r="A20" s="24" t="s">
        <v>2456</v>
      </c>
      <c r="B20" s="26" t="s">
        <v>2457</v>
      </c>
      <c r="C20" s="44" t="s">
        <v>2458</v>
      </c>
      <c r="D20" s="26" t="s">
        <v>2459</v>
      </c>
      <c r="E20" s="27" t="s">
        <v>2409</v>
      </c>
    </row>
    <row r="21" customFormat="false" ht="14.25" hidden="false" customHeight="true" outlineLevel="0" collapsed="false">
      <c r="A21" s="24" t="s">
        <v>2460</v>
      </c>
      <c r="B21" s="26" t="s">
        <v>2461</v>
      </c>
      <c r="C21" s="44" t="s">
        <v>2462</v>
      </c>
      <c r="D21" s="26" t="s">
        <v>2463</v>
      </c>
      <c r="E21" s="27" t="s">
        <v>2409</v>
      </c>
    </row>
    <row r="22" customFormat="false" ht="14.25" hidden="false" customHeight="true" outlineLevel="0" collapsed="false">
      <c r="A22" s="24" t="s">
        <v>2335</v>
      </c>
      <c r="B22" s="26" t="s">
        <v>2464</v>
      </c>
      <c r="C22" s="44" t="s">
        <v>2465</v>
      </c>
      <c r="D22" s="26" t="s">
        <v>2466</v>
      </c>
      <c r="E22" s="27" t="s">
        <v>2409</v>
      </c>
    </row>
    <row r="23" customFormat="false" ht="25.5" hidden="false" customHeight="true" outlineLevel="0" collapsed="false">
      <c r="A23" s="24" t="s">
        <v>2467</v>
      </c>
      <c r="B23" s="26" t="s">
        <v>2468</v>
      </c>
      <c r="C23" s="44" t="s">
        <v>2469</v>
      </c>
      <c r="D23" s="26" t="s">
        <v>2470</v>
      </c>
      <c r="E23" s="27" t="s">
        <v>2409</v>
      </c>
    </row>
    <row r="24" customFormat="false" ht="25.5" hidden="false" customHeight="true" outlineLevel="0" collapsed="false">
      <c r="A24" s="24" t="s">
        <v>2471</v>
      </c>
      <c r="B24" s="26" t="s">
        <v>2472</v>
      </c>
      <c r="C24" s="44" t="s">
        <v>2473</v>
      </c>
      <c r="D24" s="26" t="s">
        <v>2474</v>
      </c>
      <c r="E24" s="27" t="s">
        <v>2409</v>
      </c>
    </row>
    <row r="25" customFormat="false" ht="14.25" hidden="false" customHeight="true" outlineLevel="0" collapsed="false">
      <c r="A25" s="24" t="s">
        <v>2475</v>
      </c>
      <c r="B25" s="26" t="s">
        <v>2476</v>
      </c>
      <c r="C25" s="44" t="s">
        <v>2477</v>
      </c>
      <c r="D25" s="26" t="s">
        <v>2478</v>
      </c>
      <c r="E25" s="27" t="s">
        <v>2409</v>
      </c>
    </row>
    <row r="26" customFormat="false" ht="25.5" hidden="false" customHeight="true" outlineLevel="0" collapsed="false">
      <c r="A26" s="24" t="s">
        <v>2318</v>
      </c>
      <c r="B26" s="26" t="s">
        <v>2479</v>
      </c>
      <c r="C26" s="44" t="s">
        <v>2480</v>
      </c>
      <c r="D26" s="26" t="s">
        <v>2481</v>
      </c>
      <c r="E26" s="27" t="s">
        <v>2409</v>
      </c>
    </row>
    <row r="27" customFormat="false" ht="14.25" hidden="false" customHeight="true" outlineLevel="0" collapsed="false">
      <c r="A27" s="24" t="s">
        <v>2482</v>
      </c>
      <c r="B27" s="26" t="s">
        <v>2483</v>
      </c>
      <c r="C27" s="44" t="s">
        <v>2484</v>
      </c>
      <c r="D27" s="26" t="s">
        <v>2485</v>
      </c>
      <c r="E27" s="27" t="s">
        <v>2409</v>
      </c>
    </row>
    <row r="28" customFormat="false" ht="25.5" hidden="false" customHeight="true" outlineLevel="0" collapsed="false">
      <c r="A28" s="24" t="s">
        <v>2486</v>
      </c>
      <c r="B28" s="26" t="s">
        <v>2487</v>
      </c>
      <c r="C28" s="44" t="s">
        <v>2488</v>
      </c>
      <c r="D28" s="26" t="s">
        <v>2489</v>
      </c>
      <c r="E28" s="27" t="s">
        <v>2409</v>
      </c>
    </row>
    <row r="29" customFormat="false" ht="14.25" hidden="false" customHeight="true" outlineLevel="0" collapsed="false">
      <c r="A29" s="24" t="s">
        <v>2490</v>
      </c>
      <c r="B29" s="26" t="s">
        <v>2491</v>
      </c>
      <c r="C29" s="44" t="s">
        <v>2492</v>
      </c>
      <c r="D29" s="26" t="s">
        <v>2493</v>
      </c>
      <c r="E29" s="27" t="s">
        <v>2409</v>
      </c>
    </row>
    <row r="30" customFormat="false" ht="25.5" hidden="false" customHeight="true" outlineLevel="0" collapsed="false">
      <c r="A30" s="24" t="s">
        <v>2494</v>
      </c>
      <c r="B30" s="26" t="s">
        <v>2495</v>
      </c>
      <c r="C30" s="44" t="s">
        <v>2496</v>
      </c>
      <c r="D30" s="26" t="s">
        <v>2497</v>
      </c>
      <c r="E30" s="27" t="s">
        <v>2409</v>
      </c>
    </row>
    <row r="31" customFormat="false" ht="37.5" hidden="false" customHeight="true" outlineLevel="0" collapsed="false">
      <c r="A31" s="24" t="s">
        <v>2279</v>
      </c>
      <c r="B31" s="26" t="s">
        <v>2498</v>
      </c>
      <c r="C31" s="44" t="s">
        <v>2499</v>
      </c>
      <c r="D31" s="26" t="s">
        <v>2500</v>
      </c>
      <c r="E31" s="27" t="s">
        <v>2409</v>
      </c>
    </row>
    <row r="32" customFormat="false" ht="25.5" hidden="false" customHeight="true" outlineLevel="0" collapsed="false">
      <c r="A32" s="24" t="s">
        <v>2501</v>
      </c>
      <c r="B32" s="26" t="s">
        <v>2502</v>
      </c>
      <c r="C32" s="44" t="s">
        <v>2503</v>
      </c>
      <c r="D32" s="26" t="s">
        <v>2504</v>
      </c>
      <c r="E32" s="27" t="s">
        <v>2409</v>
      </c>
    </row>
    <row r="33" customFormat="false" ht="14.25" hidden="false" customHeight="true" outlineLevel="0" collapsed="false">
      <c r="A33" s="24" t="s">
        <v>2505</v>
      </c>
      <c r="B33" s="26" t="s">
        <v>2506</v>
      </c>
      <c r="C33" s="44" t="s">
        <v>2507</v>
      </c>
      <c r="D33" s="26" t="s">
        <v>2508</v>
      </c>
      <c r="E33" s="27" t="s">
        <v>2409</v>
      </c>
    </row>
    <row r="34" customFormat="false" ht="25.5" hidden="false" customHeight="true" outlineLevel="0" collapsed="false">
      <c r="A34" s="24" t="s">
        <v>2312</v>
      </c>
      <c r="B34" s="26" t="s">
        <v>2509</v>
      </c>
      <c r="C34" s="44" t="s">
        <v>2510</v>
      </c>
      <c r="D34" s="26" t="s">
        <v>2511</v>
      </c>
      <c r="E34" s="27" t="s">
        <v>2409</v>
      </c>
    </row>
    <row r="35" customFormat="false" ht="14.25" hidden="false" customHeight="true" outlineLevel="0" collapsed="false">
      <c r="A35" s="24" t="s">
        <v>2512</v>
      </c>
      <c r="B35" s="26" t="s">
        <v>2513</v>
      </c>
      <c r="C35" s="44" t="s">
        <v>2514</v>
      </c>
      <c r="D35" s="26" t="s">
        <v>2515</v>
      </c>
      <c r="E35" s="27" t="s">
        <v>2409</v>
      </c>
    </row>
    <row r="36" customFormat="false" ht="14.25" hidden="false" customHeight="true" outlineLevel="0" collapsed="false">
      <c r="A36" s="24" t="s">
        <v>2387</v>
      </c>
      <c r="B36" s="26" t="s">
        <v>2516</v>
      </c>
      <c r="C36" s="44" t="s">
        <v>2517</v>
      </c>
      <c r="D36" s="26" t="s">
        <v>2518</v>
      </c>
      <c r="E36" s="27" t="s">
        <v>2409</v>
      </c>
    </row>
    <row r="37" customFormat="false" ht="14.25" hidden="false" customHeight="true" outlineLevel="0" collapsed="false">
      <c r="A37" s="24" t="s">
        <v>2323</v>
      </c>
      <c r="B37" s="26" t="s">
        <v>2519</v>
      </c>
      <c r="C37" s="44" t="s">
        <v>2520</v>
      </c>
      <c r="D37" s="26" t="s">
        <v>2521</v>
      </c>
      <c r="E37" s="27" t="s">
        <v>2409</v>
      </c>
    </row>
    <row r="38" customFormat="false" ht="25.5" hidden="false" customHeight="true" outlineLevel="0" collapsed="false">
      <c r="A38" s="24" t="s">
        <v>2522</v>
      </c>
      <c r="B38" s="26" t="s">
        <v>2523</v>
      </c>
      <c r="C38" s="44" t="s">
        <v>2524</v>
      </c>
      <c r="D38" s="26" t="s">
        <v>2525</v>
      </c>
      <c r="E38" s="27" t="s">
        <v>2409</v>
      </c>
    </row>
    <row r="39" customFormat="false" ht="25.5" hidden="false" customHeight="true" outlineLevel="0" collapsed="false">
      <c r="A39" s="24" t="s">
        <v>2375</v>
      </c>
      <c r="B39" s="26" t="s">
        <v>2526</v>
      </c>
      <c r="C39" s="44" t="s">
        <v>2527</v>
      </c>
      <c r="D39" s="26" t="s">
        <v>2528</v>
      </c>
      <c r="E39" s="27" t="s">
        <v>2409</v>
      </c>
    </row>
    <row r="40" customFormat="false" ht="14.25" hidden="false" customHeight="true" outlineLevel="0" collapsed="false">
      <c r="A40" s="24" t="s">
        <v>2529</v>
      </c>
      <c r="B40" s="26" t="s">
        <v>2530</v>
      </c>
      <c r="C40" s="44" t="s">
        <v>2531</v>
      </c>
      <c r="D40" s="26" t="s">
        <v>2532</v>
      </c>
      <c r="E40" s="27" t="s">
        <v>2409</v>
      </c>
    </row>
    <row r="41" customFormat="false" ht="25.5" hidden="false" customHeight="true" outlineLevel="0" collapsed="false">
      <c r="A41" s="24" t="s">
        <v>2362</v>
      </c>
      <c r="B41" s="26" t="s">
        <v>2533</v>
      </c>
      <c r="C41" s="44" t="s">
        <v>2534</v>
      </c>
      <c r="D41" s="26" t="s">
        <v>2535</v>
      </c>
      <c r="E41" s="27" t="s">
        <v>2409</v>
      </c>
    </row>
    <row r="42" customFormat="false" ht="25.5" hidden="false" customHeight="true" outlineLevel="0" collapsed="false">
      <c r="A42" s="24" t="s">
        <v>2536</v>
      </c>
      <c r="B42" s="26" t="s">
        <v>2537</v>
      </c>
      <c r="C42" s="44" t="s">
        <v>2538</v>
      </c>
      <c r="D42" s="26" t="s">
        <v>2539</v>
      </c>
      <c r="E42" s="27" t="s">
        <v>2409</v>
      </c>
    </row>
    <row r="43" customFormat="false" ht="14.25" hidden="false" customHeight="true" outlineLevel="0" collapsed="false">
      <c r="A43" s="24" t="s">
        <v>2540</v>
      </c>
      <c r="B43" s="26" t="s">
        <v>2541</v>
      </c>
      <c r="C43" s="44" t="s">
        <v>2542</v>
      </c>
      <c r="D43" s="26" t="s">
        <v>2543</v>
      </c>
      <c r="E43" s="27" t="s">
        <v>2544</v>
      </c>
    </row>
    <row r="44" customFormat="false" ht="25.5" hidden="false" customHeight="true" outlineLevel="0" collapsed="false">
      <c r="A44" s="24" t="s">
        <v>2545</v>
      </c>
      <c r="B44" s="26" t="s">
        <v>2546</v>
      </c>
      <c r="C44" s="44" t="s">
        <v>2547</v>
      </c>
      <c r="D44" s="26" t="s">
        <v>2548</v>
      </c>
      <c r="E44" s="27" t="s">
        <v>2409</v>
      </c>
    </row>
    <row r="45" customFormat="false" ht="25.5" hidden="false" customHeight="true" outlineLevel="0" collapsed="false">
      <c r="A45" s="24" t="s">
        <v>2549</v>
      </c>
      <c r="B45" s="26" t="s">
        <v>2550</v>
      </c>
      <c r="C45" s="44" t="s">
        <v>2551</v>
      </c>
      <c r="D45" s="26" t="s">
        <v>2552</v>
      </c>
      <c r="E45" s="27" t="s">
        <v>2409</v>
      </c>
    </row>
    <row r="46" customFormat="false" ht="14.25" hidden="false" customHeight="true" outlineLevel="0" collapsed="false">
      <c r="A46" s="24" t="s">
        <v>2285</v>
      </c>
      <c r="B46" s="26" t="s">
        <v>2553</v>
      </c>
      <c r="C46" s="44" t="s">
        <v>2554</v>
      </c>
      <c r="D46" s="26" t="s">
        <v>2555</v>
      </c>
      <c r="E46" s="27" t="s">
        <v>2409</v>
      </c>
    </row>
    <row r="47" customFormat="false" ht="14.25" hidden="false" customHeight="true" outlineLevel="0" collapsed="false">
      <c r="A47" s="24" t="s">
        <v>2556</v>
      </c>
      <c r="B47" s="26" t="s">
        <v>2557</v>
      </c>
      <c r="C47" s="44" t="s">
        <v>2558</v>
      </c>
      <c r="D47" s="26" t="s">
        <v>2559</v>
      </c>
      <c r="E47" s="27" t="s">
        <v>2409</v>
      </c>
    </row>
    <row r="48" customFormat="false" ht="25.5" hidden="false" customHeight="true" outlineLevel="0" collapsed="false">
      <c r="A48" s="24" t="s">
        <v>2560</v>
      </c>
      <c r="B48" s="26" t="s">
        <v>2561</v>
      </c>
      <c r="C48" s="44" t="s">
        <v>2562</v>
      </c>
      <c r="D48" s="26" t="s">
        <v>2563</v>
      </c>
      <c r="E48" s="27" t="s">
        <v>2409</v>
      </c>
    </row>
    <row r="49" customFormat="false" ht="25.5" hidden="false" customHeight="true" outlineLevel="0" collapsed="false">
      <c r="A49" s="24" t="s">
        <v>2564</v>
      </c>
      <c r="B49" s="26" t="s">
        <v>2565</v>
      </c>
      <c r="C49" s="44" t="s">
        <v>2566</v>
      </c>
      <c r="D49" s="26" t="s">
        <v>2567</v>
      </c>
      <c r="E49" s="27" t="s">
        <v>2409</v>
      </c>
    </row>
    <row r="50" customFormat="false" ht="25.5" hidden="false" customHeight="true" outlineLevel="0" collapsed="false">
      <c r="A50" s="24" t="s">
        <v>2568</v>
      </c>
      <c r="B50" s="26" t="s">
        <v>2569</v>
      </c>
      <c r="C50" s="44" t="s">
        <v>2570</v>
      </c>
      <c r="D50" s="26" t="s">
        <v>2571</v>
      </c>
      <c r="E50" s="27" t="s">
        <v>2409</v>
      </c>
    </row>
    <row r="51" customFormat="false" ht="25.5" hidden="false" customHeight="true" outlineLevel="0" collapsed="false">
      <c r="A51" s="24" t="s">
        <v>2301</v>
      </c>
      <c r="B51" s="26" t="s">
        <v>2572</v>
      </c>
      <c r="C51" s="44" t="s">
        <v>2573</v>
      </c>
      <c r="D51" s="26" t="s">
        <v>2574</v>
      </c>
      <c r="E51" s="27" t="s">
        <v>2409</v>
      </c>
    </row>
    <row r="52" customFormat="false" ht="14.25" hidden="false" customHeight="true" outlineLevel="0" collapsed="false">
      <c r="A52" s="24" t="s">
        <v>2575</v>
      </c>
      <c r="B52" s="26" t="s">
        <v>2576</v>
      </c>
      <c r="C52" s="44" t="s">
        <v>2577</v>
      </c>
      <c r="D52" s="26" t="s">
        <v>2578</v>
      </c>
      <c r="E52" s="27" t="s">
        <v>2409</v>
      </c>
    </row>
    <row r="53" customFormat="false" ht="14.25" hidden="false" customHeight="true" outlineLevel="0" collapsed="false">
      <c r="A53" s="24" t="s">
        <v>2579</v>
      </c>
      <c r="B53" s="26" t="s">
        <v>2580</v>
      </c>
      <c r="C53" s="44" t="s">
        <v>2581</v>
      </c>
      <c r="D53" s="26" t="s">
        <v>2582</v>
      </c>
      <c r="E53" s="27" t="s">
        <v>2409</v>
      </c>
    </row>
    <row r="54" customFormat="false" ht="25.5" hidden="false" customHeight="true" outlineLevel="0" collapsed="false">
      <c r="A54" s="24" t="s">
        <v>2583</v>
      </c>
      <c r="B54" s="26" t="s">
        <v>2584</v>
      </c>
      <c r="C54" s="44" t="s">
        <v>2585</v>
      </c>
      <c r="D54" s="26" t="s">
        <v>2586</v>
      </c>
      <c r="E54" s="27" t="s">
        <v>2409</v>
      </c>
    </row>
    <row r="55" customFormat="false" ht="14.25" hidden="false" customHeight="true" outlineLevel="0" collapsed="false">
      <c r="A55" s="24" t="s">
        <v>2587</v>
      </c>
      <c r="B55" s="26" t="s">
        <v>2588</v>
      </c>
      <c r="C55" s="44" t="s">
        <v>2589</v>
      </c>
      <c r="D55" s="26" t="s">
        <v>2590</v>
      </c>
      <c r="E55" s="27" t="s">
        <v>2409</v>
      </c>
    </row>
    <row r="56" customFormat="false" ht="25.5" hidden="false" customHeight="true" outlineLevel="0" collapsed="false">
      <c r="A56" s="24" t="s">
        <v>2591</v>
      </c>
      <c r="B56" s="26" t="s">
        <v>2592</v>
      </c>
      <c r="C56" s="44" t="s">
        <v>2593</v>
      </c>
      <c r="D56" s="26" t="s">
        <v>2594</v>
      </c>
      <c r="E56" s="27" t="s">
        <v>2409</v>
      </c>
    </row>
    <row r="57" customFormat="false" ht="25.5" hidden="false" customHeight="true" outlineLevel="0" collapsed="false">
      <c r="A57" s="24" t="s">
        <v>2370</v>
      </c>
      <c r="B57" s="26" t="s">
        <v>2595</v>
      </c>
      <c r="C57" s="44" t="s">
        <v>2596</v>
      </c>
      <c r="D57" s="26" t="s">
        <v>2597</v>
      </c>
      <c r="E57" s="27" t="s">
        <v>2409</v>
      </c>
    </row>
    <row r="58" customFormat="false" ht="25.5" hidden="false" customHeight="true" outlineLevel="0" collapsed="false">
      <c r="A58" s="24" t="s">
        <v>2357</v>
      </c>
      <c r="B58" s="26" t="s">
        <v>2598</v>
      </c>
      <c r="C58" s="44" t="s">
        <v>2599</v>
      </c>
      <c r="D58" s="26" t="s">
        <v>2600</v>
      </c>
      <c r="E58" s="27" t="s">
        <v>2409</v>
      </c>
    </row>
    <row r="59" customFormat="false" ht="14.25" hidden="false" customHeight="true" outlineLevel="0" collapsed="false">
      <c r="A59" s="24" t="s">
        <v>2601</v>
      </c>
      <c r="B59" s="26" t="s">
        <v>2602</v>
      </c>
      <c r="C59" s="44" t="s">
        <v>2603</v>
      </c>
      <c r="D59" s="26" t="s">
        <v>2604</v>
      </c>
      <c r="E59" s="27" t="s">
        <v>2409</v>
      </c>
    </row>
    <row r="60" customFormat="false" ht="14.25" hidden="false" customHeight="true" outlineLevel="0" collapsed="false">
      <c r="A60" s="24" t="s">
        <v>2605</v>
      </c>
      <c r="B60" s="26" t="s">
        <v>2606</v>
      </c>
      <c r="C60" s="44" t="s">
        <v>2607</v>
      </c>
      <c r="D60" s="26" t="s">
        <v>2608</v>
      </c>
      <c r="E60" s="27" t="s">
        <v>2409</v>
      </c>
    </row>
    <row r="61" customFormat="false" ht="14.25" hidden="false" customHeight="true" outlineLevel="0" collapsed="false">
      <c r="A61" s="24" t="s">
        <v>2609</v>
      </c>
      <c r="B61" s="26" t="s">
        <v>2610</v>
      </c>
      <c r="C61" s="44" t="s">
        <v>2611</v>
      </c>
      <c r="D61" s="26" t="s">
        <v>2612</v>
      </c>
      <c r="E61" s="27" t="s">
        <v>2409</v>
      </c>
    </row>
    <row r="62" customFormat="false" ht="14.25" hidden="false" customHeight="true" outlineLevel="0" collapsed="false">
      <c r="A62" s="24" t="s">
        <v>2613</v>
      </c>
      <c r="B62" s="26" t="s">
        <v>2614</v>
      </c>
      <c r="C62" s="44" t="s">
        <v>2615</v>
      </c>
      <c r="D62" s="26" t="s">
        <v>2616</v>
      </c>
      <c r="E62" s="27" t="s">
        <v>2409</v>
      </c>
    </row>
    <row r="63" customFormat="false" ht="14.25" hidden="false" customHeight="true" outlineLevel="0" collapsed="false">
      <c r="A63" s="24" t="s">
        <v>2617</v>
      </c>
      <c r="B63" s="26" t="s">
        <v>2618</v>
      </c>
      <c r="C63" s="44" t="s">
        <v>2619</v>
      </c>
      <c r="D63" s="26" t="s">
        <v>2620</v>
      </c>
      <c r="E63" s="27" t="s">
        <v>2409</v>
      </c>
    </row>
    <row r="64" customFormat="false" ht="25.5" hidden="false" customHeight="true" outlineLevel="0" collapsed="false">
      <c r="A64" s="24" t="s">
        <v>2621</v>
      </c>
      <c r="B64" s="26" t="s">
        <v>2622</v>
      </c>
      <c r="C64" s="44" t="s">
        <v>2623</v>
      </c>
      <c r="D64" s="26" t="s">
        <v>2624</v>
      </c>
      <c r="E64" s="27" t="s">
        <v>2409</v>
      </c>
    </row>
    <row r="65" customFormat="false" ht="14.25" hidden="false" customHeight="true" outlineLevel="0" collapsed="false">
      <c r="A65" s="24" t="s">
        <v>2367</v>
      </c>
      <c r="B65" s="26" t="s">
        <v>2625</v>
      </c>
      <c r="C65" s="44" t="s">
        <v>2626</v>
      </c>
      <c r="D65" s="26" t="s">
        <v>2627</v>
      </c>
      <c r="E65" s="27" t="s">
        <v>2409</v>
      </c>
    </row>
    <row r="66" customFormat="false" ht="25.5" hidden="false" customHeight="true" outlineLevel="0" collapsed="false">
      <c r="A66" s="24" t="s">
        <v>2628</v>
      </c>
      <c r="B66" s="26" t="s">
        <v>2629</v>
      </c>
      <c r="C66" s="44" t="s">
        <v>2630</v>
      </c>
      <c r="D66" s="26" t="s">
        <v>2631</v>
      </c>
      <c r="E66" s="27" t="s">
        <v>2409</v>
      </c>
    </row>
    <row r="67" customFormat="false" ht="14.25" hidden="false" customHeight="true" outlineLevel="0" collapsed="false">
      <c r="A67" s="24" t="s">
        <v>2632</v>
      </c>
      <c r="B67" s="26" t="s">
        <v>2633</v>
      </c>
      <c r="C67" s="44" t="s">
        <v>2634</v>
      </c>
      <c r="D67" s="26" t="s">
        <v>2635</v>
      </c>
      <c r="E67" s="27" t="s">
        <v>2409</v>
      </c>
    </row>
    <row r="68" customFormat="false" ht="25.5" hidden="false" customHeight="true" outlineLevel="0" collapsed="false">
      <c r="A68" s="24" t="s">
        <v>2636</v>
      </c>
      <c r="B68" s="26" t="s">
        <v>2637</v>
      </c>
      <c r="C68" s="44" t="s">
        <v>2638</v>
      </c>
      <c r="D68" s="26" t="s">
        <v>2639</v>
      </c>
      <c r="E68" s="27" t="s">
        <v>2409</v>
      </c>
    </row>
    <row r="69" customFormat="false" ht="14.25" hidden="false" customHeight="true" outlineLevel="0" collapsed="false">
      <c r="A69" s="24" t="s">
        <v>2640</v>
      </c>
      <c r="B69" s="26" t="s">
        <v>2641</v>
      </c>
      <c r="C69" s="44" t="s">
        <v>2642</v>
      </c>
      <c r="D69" s="26" t="s">
        <v>2643</v>
      </c>
      <c r="E69" s="27" t="s">
        <v>2409</v>
      </c>
    </row>
    <row r="70" customFormat="false" ht="25.5" hidden="false" customHeight="true" outlineLevel="0" collapsed="false">
      <c r="A70" s="24" t="s">
        <v>2644</v>
      </c>
      <c r="B70" s="26" t="s">
        <v>2645</v>
      </c>
      <c r="C70" s="44" t="s">
        <v>2646</v>
      </c>
      <c r="D70" s="26" t="s">
        <v>2647</v>
      </c>
      <c r="E70" s="27" t="s">
        <v>2409</v>
      </c>
    </row>
    <row r="71" customFormat="false" ht="25.5" hidden="false" customHeight="true" outlineLevel="0" collapsed="false">
      <c r="A71" s="24" t="s">
        <v>2382</v>
      </c>
      <c r="B71" s="26" t="s">
        <v>2648</v>
      </c>
      <c r="C71" s="44" t="s">
        <v>2649</v>
      </c>
      <c r="D71" s="26" t="s">
        <v>2650</v>
      </c>
      <c r="E71" s="27" t="s">
        <v>2544</v>
      </c>
    </row>
    <row r="72" customFormat="false" ht="25.5" hidden="false" customHeight="true" outlineLevel="0" collapsed="false">
      <c r="A72" s="24" t="s">
        <v>2651</v>
      </c>
      <c r="B72" s="26" t="s">
        <v>2652</v>
      </c>
      <c r="C72" s="44" t="s">
        <v>2653</v>
      </c>
      <c r="D72" s="26" t="s">
        <v>2654</v>
      </c>
      <c r="E72" s="27" t="s">
        <v>2544</v>
      </c>
    </row>
    <row r="73" customFormat="false" ht="14.25" hidden="false" customHeight="true" outlineLevel="0" collapsed="false">
      <c r="A73" s="24" t="s">
        <v>2655</v>
      </c>
      <c r="B73" s="26" t="s">
        <v>2656</v>
      </c>
      <c r="C73" s="44" t="s">
        <v>2657</v>
      </c>
      <c r="D73" s="26" t="s">
        <v>2658</v>
      </c>
      <c r="E73" s="27" t="s">
        <v>2409</v>
      </c>
    </row>
    <row r="74" customFormat="false" ht="25.5" hidden="false" customHeight="true" outlineLevel="0" collapsed="false">
      <c r="A74" s="24" t="s">
        <v>2659</v>
      </c>
      <c r="B74" s="26" t="s">
        <v>2660</v>
      </c>
      <c r="C74" s="44" t="s">
        <v>2661</v>
      </c>
      <c r="D74" s="26" t="s">
        <v>2662</v>
      </c>
      <c r="E74" s="27" t="s">
        <v>2409</v>
      </c>
    </row>
    <row r="75" customFormat="false" ht="14.25" hidden="false" customHeight="true" outlineLevel="0" collapsed="false">
      <c r="A75" s="24" t="s">
        <v>2663</v>
      </c>
      <c r="B75" s="26" t="s">
        <v>2664</v>
      </c>
      <c r="C75" s="44" t="s">
        <v>2665</v>
      </c>
      <c r="D75" s="26" t="s">
        <v>2666</v>
      </c>
      <c r="E75" s="27" t="s">
        <v>2409</v>
      </c>
    </row>
    <row r="76" customFormat="false" ht="14.25" hidden="false" customHeight="true" outlineLevel="0" collapsed="false">
      <c r="A76" s="24" t="s">
        <v>2667</v>
      </c>
      <c r="B76" s="26" t="s">
        <v>2668</v>
      </c>
      <c r="C76" s="44" t="s">
        <v>2669</v>
      </c>
      <c r="D76" s="26" t="s">
        <v>2670</v>
      </c>
      <c r="E76" s="27" t="s">
        <v>2409</v>
      </c>
    </row>
    <row r="77" customFormat="false" ht="25.5" hidden="false" customHeight="true" outlineLevel="0" collapsed="false">
      <c r="A77" s="24" t="s">
        <v>2671</v>
      </c>
      <c r="B77" s="26" t="s">
        <v>2672</v>
      </c>
      <c r="C77" s="44" t="s">
        <v>2673</v>
      </c>
      <c r="D77" s="26" t="s">
        <v>2674</v>
      </c>
      <c r="E77" s="27" t="s">
        <v>2544</v>
      </c>
    </row>
    <row r="78" customFormat="false" ht="25.5" hidden="false" customHeight="true" outlineLevel="0" collapsed="false">
      <c r="A78" s="24" t="s">
        <v>2675</v>
      </c>
      <c r="B78" s="26" t="s">
        <v>2676</v>
      </c>
      <c r="C78" s="26" t="s">
        <v>2677</v>
      </c>
      <c r="D78" s="26" t="s">
        <v>2678</v>
      </c>
      <c r="E78" s="27" t="s">
        <v>2409</v>
      </c>
    </row>
  </sheetData>
  <hyperlinks>
    <hyperlink ref="C6" r:id="rId1" display="https://aws.amazon.com/cognito/pricing/"/>
    <hyperlink ref="C7" r:id="rId2" display="https://www.medplum.com/pricing"/>
    <hyperlink ref="C8" r:id="rId3" display="https://www.digitalapplied.com/blog/mistral-ocr-4-document-ai-business-automation-2026"/>
    <hyperlink ref="C9" r:id="rId4" display="https://mistral.ai/news/voxtral-transcribe-2"/>
    <hyperlink ref="C10" r:id="rId5" display="https://aws.amazon.com/blogs/alps/unlocking-ai-flexibility-in-switzerland-a-guide-to-cross-region-inference-for-eu-data-processing-and-model-access"/>
    <hyperlink ref="C11" r:id="rId6" display="https://letsdatascience.com/news/openevidence-withdraws-ai-medical-app-from-eu-uk-1447fca2"/>
    <hyperlink ref="C12" r:id="rId7" display="https://www.iatrox.com/compare/dr-info-vs-openevidence"/>
    <hyperlink ref="C13" r:id="rId8" display="https://docs.corti.ai/about/languages"/>
    <hyperlink ref="C14" r:id="rId9" display="https://www.mondaq.com/eu-digital-omnibus-on-ai-enters-into-force/1825722"/>
    <hyperlink ref="C15" r:id="rId10" display="https://app.dealroom.co/companies/labplus"/>
    <hyperlink ref="C16" r:id="rId11" display="https://infermedica.com/blog/articles/infermedica-2025-a-year-in-review"/>
    <hyperlink ref="C17" r:id="rId12" display="https://www.aquasec.com/blog/trivy-supply-chain-attack-what-you-need-to-know"/>
    <hyperlink ref="C18" r:id="rId13" display="https://arxiv.org/abs/2603.02246"/>
    <hyperlink ref="C19" r:id="rId14" display="https://elevenlabs.io/realtime-speech-to-text-api"/>
    <hyperlink ref="C20" r:id="rId15" display="https://learn.microsoft.com/en-us/answers/questions/2259083/gpt-4o-transcribe-availability-within-eu-data-zone"/>
    <hyperlink ref="C21" r:id="rId16" display="https://cloud.google.com/document-ai/pricing"/>
    <hyperlink ref="C22" r:id="rId17" display="https://zitadel.com/license-faq"/>
    <hyperlink ref="C23" r:id="rId18" display="https://poradnikprzedsiebiorcy.pl/-mobywatel-a-sprawdzanie-tozsamosci"/>
    <hyperlink ref="C24" r:id="rId19" display="https://integrations.docplanner.com/guide/"/>
    <hyperlink ref="C25" r:id="rId20" display="https://trtc.io/blog/details/livekit-pricing-2026"/>
    <hyperlink ref="C26" r:id="rId21" display="https://www.themomentum.ai/blog/introducing-open-wearables-the-open-source-api-for-wearable-health-intelligence"/>
    <hyperlink ref="C27" r:id="rId22" display="https://www.thryve.health/pricing"/>
    <hyperlink ref="C28" r:id="rId23" display="https://tryterra.co/pricing"/>
    <hyperlink ref="C29" r:id="rId24" display="https://sahha.ai/compare/thryve-alternatives/"/>
    <hyperlink ref="C30" r:id="rId25" display="https://developer.withings.com/developer-guide/v3/withings-solutions/withings-api-plans/"/>
    <hyperlink ref="C31" r:id="rId26" display="https://tryterra.co/blog/strava-api-changes-2026"/>
    <hyperlink ref="C32" r:id="rId27" display="https://www.biznesradar.pl/a/103714,nestmedic-rozpoczyna-proces-certyfikacji-pregnabit-pro-jako-wyrobu-medycznego"/>
    <hyperlink ref="C33" r:id="rId28" display="https://www.ovhcloud.com/pl/sms/prices/"/>
    <hyperlink ref="C34" r:id="rId29" display="https://press.aboutamazon.com/aws/2026/1/aws-launches-aws-european-sovereign-cloud-and-announces-expansion-across-europe"/>
    <hyperlink ref="C35" r:id="rId30" display="https://www.everydev.ai/tools/novu"/>
    <hyperlink ref="C36" r:id="rId31" display="https://arxiv.org/abs/2601.11579"/>
    <hyperlink ref="C37" r:id="rId32" display="https://langfuse.com/blog/joining-clickhouse"/>
    <hyperlink ref="C38" r:id="rId33" display="https://www.gazetaprawna.pl/biznes/zdrowie/artykuly/11160349,wystawianie-eskierowan-jest-proste.html"/>
    <hyperlink ref="C39" r:id="rId34" display="https://www.gov.pl/web/gios/korzystasz-z-danych-gios-o-jakosci-powietrza-za-posrednictwem-uslug-api-sprawdz-wazne-zmiany"/>
    <hyperlink ref="C40" r:id="rId35" display="https://open-meteo.com/en/pricing"/>
    <hyperlink ref="C41" r:id="rId36" display="https://simplelocalize.io/blog/posts/ai-machine-translation-cost-comparison/"/>
    <hyperlink ref="C42" r:id="rId37" display="https://scanbalt.org/scanbalt-business-club/sidly-care-first-device-telemedicine-offering-advantages-ehealth-ecare-combined/"/>
    <hyperlink ref="C43" r:id="rId38" display="https://www.comarch.pl/files-pl/file_953/Leaflet_eCare.pdf"/>
    <hyperlink ref="C44" r:id="rId39" display="https://openpolicyagent.org/blog/note-from-teemu-tim-and-torin-to-the-open-policy-agent-community-2dbbfe494371"/>
    <hyperlink ref="C45" r:id="rId40" display="https://www.cncf.io/blog/2025/11/11/openfga-becomes-a-cncf-incubating-project/"/>
    <hyperlink ref="C46" r:id="rId41" display="https://tryterra.co/blog/garmin-connect-developer-program-pause"/>
    <hyperlink ref="C47" r:id="rId42" display="https://www.polar.com/blog/introducing-polar-open-accesslink-api/"/>
    <hyperlink ref="C48" r:id="rId43" display="https://comparic.pl/medapp-rozpoczyna-wspolprace-z-ogolnopolska-siecia-laboratoriow-medycznych-diagnostyka/"/>
    <hyperlink ref="C49" r:id="rId44" display="https://www.health-samurai.io/docs/aidbox/overview/licensing-and-support.md"/>
    <hyperlink ref="C50" r:id="rId45" display="https://www.smiledigitalhealth.com/events/smile-cdr-2026-08-r01-evolution-webinar"/>
    <hyperlink ref="C51" r:id="rId46" display="https://lucaberton.com/blog/cal-com-open-source-scheduling-self-hosted-2026/"/>
    <hyperlink ref="C52" r:id="rId47" display="https://docs.cronofy.com/scheduler/scheduler-faqs/pricing/index.md"/>
    <hyperlink ref="C53" r:id="rId48" display="https://www.capterra.com/p/10040456/Physitrack/"/>
    <hyperlink ref="C54" r:id="rId49" display="https://my.motherbase.ai/startup/143472-telemedi-assistance-digital-health-platform"/>
    <hyperlink ref="C55" r:id="rId50" display="https://configcat.com/blog/top-launchdarkly-alternatives/"/>
    <hyperlink ref="C56" r:id="rId51" display="https://dev.to/nayankyada/strapi-pricing-2026-community-edition-cloud-tiers-and-real-infra-costs-184i"/>
    <hyperlink ref="C57" r:id="rId52" display="https://www.cmswire.com/digital-experience/when-cms-meets-ux-design-what-figmas-payload-deal-really-means"/>
    <hyperlink ref="C58" r:id="rId53" display="https://dev.to/mr_manushukla/amazon-ses-pricing-plans-in-2026-essentials-vs-pro-vs-enterprise-and-when-a-la-carte-still-wins"/>
    <hyperlink ref="C59" r:id="rId54" display="https://european-alternatives.eu/product/brevo"/>
    <hyperlink ref="C60" r:id="rId55" display="https://pricingsaas.com/companies/expo"/>
    <hyperlink ref="C61" r:id="rId56" display="https://github.com/matinzd/react-native-health-connect/wiki"/>
    <hyperlink ref="C62" r:id="rId57" display="https://platform.fatsecret.com/api-editions"/>
    <hyperlink ref="C63" r:id="rId58" display="https://apis.io/plans/edamam/edamam-plans-pricing/"/>
    <hyperlink ref="C64" r:id="rId59" display="https://openfoodfacts.github.io/documentation/docs/Product-Opener/api/"/>
    <hyperlink ref="C65" r:id="rId60" display="https://costbench.com/changelog/discourse-price-increase-2026-06/"/>
    <hyperlink ref="C66" r:id="rId61" display="https://support.zammad.com/help/en-us/32-sales-accounting/781-preview-zammad-7-0-new-tariffs"/>
    <hyperlink ref="C67" r:id="rId62" display="https://www.capterra.com/p/157063/ClickMeeting/"/>
    <hyperlink ref="C68" r:id="rId63" display="https://international-pharma.com/evondos-group-launches-in-uk-delivering-impressive-1-46m-annualised-savings-in-medway-with-partner-kyndi/"/>
    <hyperlink ref="C69" r:id="rId64" display="https://www.morphllm.com/anthropic-claude-api-pricing"/>
    <hyperlink ref="C70" r:id="rId65" display="https://pricepertoken.com/pricing-page/model/mistral-ai-mistral-medium-3.5"/>
    <hyperlink ref="C71" r:id="rId66" display="https://health.ec.europa.eu/ehealth-digital-health-and-care/european-health-data-space-regulation-ehds_nl"/>
    <hyperlink ref="C72" r:id="rId67" display="https://itwiz.pl/authologic-rozszerza-dzialalnosc-na-siedmiu-europejskich-rynkach/"/>
    <hyperlink ref="C73" r:id="rId68" display="https://soniox.com/speech-to-text/polish"/>
    <hyperlink ref="C74" r:id="rId69" display="https://www.cez.gov.pl/fileadmin/user_upload/uslugi_biznesowe_projekt_p1_591ef42d93b64.pdf"/>
    <hyperlink ref="C75" r:id="rId70" display="https://apps.apple.com/us/app/mydr-edm/id1634185212"/>
    <hyperlink ref="C76" r:id="rId71" display="https://www.keycloak.org/2024/10/keycloak-2600-released.html"/>
    <hyperlink ref="C77" r:id="rId72" display="https://www.comarch.com/healthcare/resources/case-study-lesser-poland-tele-angel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2026-10-14T14:42:16Z</dcterms:created>
  <dc:creator>openpyxl</dc:creator>
  <dc:description/>
  <dc:language>en-US</dc:language>
  <cp:lastModifiedBy/>
  <dcterms:modified xsi:type="dcterms:W3CDTF">2026-10-14T14:42:16Z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
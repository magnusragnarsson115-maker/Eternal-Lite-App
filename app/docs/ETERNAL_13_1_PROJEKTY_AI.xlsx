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ZYTAJ" sheetId="1" state="visible" r:id="rId3"/>
    <sheet name="PODSUMOWANIE" sheetId="2" state="visible" r:id="rId4"/>
    <sheet name="KOLEJKA_AI" sheetId="3" state="visible" r:id="rId5"/>
    <sheet name="P1_APLIKACJA" sheetId="4" state="visible" r:id="rId6"/>
    <sheet name="P2_STATION" sheetId="5" state="visible" r:id="rId7"/>
    <sheet name="P3_CAPSULE" sheetId="6" state="visible" r:id="rId8"/>
    <sheet name="P4_DIGITAL_TWIN" sheetId="7" state="visible" r:id="rId9"/>
    <sheet name="P5_MATRIX" sheetId="8" state="visible" r:id="rId10"/>
    <sheet name="P6_HUB" sheetId="9" state="visible" r:id="rId11"/>
    <sheet name="P7_FORGE" sheetId="10" state="visible" r:id="rId12"/>
    <sheet name="PRODUKTY_ETAPY" sheetId="11" state="visible" r:id="rId13"/>
    <sheet name="KOMPONENTY" sheetId="12" state="visible" r:id="rId14"/>
  </sheets>
  <definedNames>
    <definedName function="false" hidden="true" localSheetId="2" name="_xlnm._FilterDatabase" vbProcedure="false">KOLEJKA_AI!$A$3:$K$48</definedName>
    <definedName function="false" hidden="true" localSheetId="11" name="_xlnm._FilterDatabase" vbProcedure="false">KOMPONENTY!$A$3:$J$140</definedName>
    <definedName function="false" hidden="true" localSheetId="3" name="_xlnm._FilterDatabase" vbProcedure="false">P1_APLIKACJA!$A$3:$Q$129</definedName>
    <definedName function="false" hidden="true" localSheetId="4" name="_xlnm._FilterDatabase" vbProcedure="false">P2_STATION!$A$3:$Q$24</definedName>
    <definedName function="false" hidden="true" localSheetId="5" name="_xlnm._FilterDatabase" vbProcedure="false">P3_CAPSULE!$A$3:$Q$21</definedName>
    <definedName function="false" hidden="true" localSheetId="6" name="_xlnm._FilterDatabase" vbProcedure="false">P4_DIGITAL_TWIN!$A$3:$Q$21</definedName>
    <definedName function="false" hidden="true" localSheetId="7" name="_xlnm._FilterDatabase" vbProcedure="false">P5_MATRIX!$A$3:$Q$12</definedName>
    <definedName function="false" hidden="true" localSheetId="8" name="_xlnm._FilterDatabase" vbProcedure="false">P6_HUB!$A$3:$Q$9</definedName>
    <definedName function="false" hidden="true" localSheetId="9" name="_xlnm._FilterDatabase" vbProcedure="false">P7_FORGE!$A$3:$Q$12</definedName>
    <definedName function="false" hidden="true" localSheetId="10" name="_xlnm._FilterDatabase" vbProcedure="false">PRODUKTY_ETAPY!$A$3:$K$207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<sst xmlns="http://schemas.openxmlformats.org/spreadsheetml/2006/main" count="7892" uniqueCount="3014">
  <si>
    <t xml:space="preserve">ETERNAL 13.1 — PROJEKTY, ETAPY I TO, CO MOŻE ZBUDOWAĆ AI</t>
  </si>
  <si>
    <t xml:space="preserve">Stan na</t>
  </si>
  <si>
    <t xml:space="preserve">15.10.2026</t>
  </si>
  <si>
    <t xml:space="preserve">Źródła</t>
  </si>
  <si>
    <t xml:space="preserve">Macierz v11 (arkusze 13 projekty, 35 komponenty, 44 etapy produktów, 45 etapy modułów, 50 roadmapa, 52 karty komponentów); kod Eternal Lite (stan modułów).</t>
  </si>
  <si>
    <t xml:space="preserve">Do czego służy</t>
  </si>
  <si>
    <t xml:space="preserve">Dla każdego projektu P1–P7: moduły produktowe na etapach MVP, MLP i FINAL, ich funkcjonalności, komponenty użyte do wykonania oraz podział pracy: co napisze AI, a co wymaga ludzi, partnerów, umów lub dopuszczenia.</t>
  </si>
  <si>
    <t xml:space="preserve">Etap</t>
  </si>
  <si>
    <t xml:space="preserve">MVP, MLP i FINAL to etapy rozwoju danego produktu (arkusz 45), nie daty. Kolumna „Termin wg roadmapy” podaje półrocze startu etapu dla toru z arkusza 50.</t>
  </si>
  <si>
    <t xml:space="preserve">Klasy pracy AI</t>
  </si>
  <si>
    <t xml:space="preserve">Klasa A</t>
  </si>
  <si>
    <t xml:space="preserve">AI buduje całość: własny kod, bez zewnętrznych dostawców</t>
  </si>
  <si>
    <t xml:space="preserve">Klasa B</t>
  </si>
  <si>
    <t xml:space="preserve">AI buduje całość; człowiek wybiera dostawców, zakłada konta, podpisuje umowy lub licencje</t>
  </si>
  <si>
    <t xml:space="preserve">Klasa C</t>
  </si>
  <si>
    <t xml:space="preserve">AI buduje oprogramowanie; sprzęt, personel lub usługę fizyczną dostarcza partner</t>
  </si>
  <si>
    <t xml:space="preserve">Klasa D</t>
  </si>
  <si>
    <t xml:space="preserve">AI buduje kod; wynik regulowany wymaga walidacji klinicznej i dopuszczenia</t>
  </si>
  <si>
    <t xml:space="preserve">Klasa E</t>
  </si>
  <si>
    <t xml:space="preserve">program badawczy bez gotowego wykonawcy; AI tylko analiza i prototyp programowy</t>
  </si>
  <si>
    <t xml:space="preserve">Jak liczona klasa</t>
  </si>
  <si>
    <t xml:space="preserve">Szacunek, nie ustalenie. Każdy komponent z zestawu wykonawczego (arkusz 45) dostaje klasę według kolumny „Model wykonania” z arkusza 35: WŁASNY → AI pisze kod; USŁUGA / API / SDK / LICENCJA → adapter plus konto lub umowa; HW i SVC → partner; AI07, AI10, SVC02 → regulowane; RND01, HW10, HW13, HW14 → R&amp;D. Klasa modułu to najtrudniejsza klasa jego komponentów (E &gt; D &gt; C &gt; B &gt; A).</t>
  </si>
  <si>
    <t xml:space="preserve">Komponenty kontrolne</t>
  </si>
  <si>
    <t xml:space="preserve">Warstwa kontroli (zgody, uprawnienia, audyt, kierowanie do dostawców; arkusz 45 kolumna „Komponenty zabezpieczające”) jest wspólna dla wszystkich modułów, w większości własna (klasa A) i nie zmienia klasy modułu. CTL11 i CTL12 to procesy prowadzone przez ludzi.</t>
  </si>
  <si>
    <t xml:space="preserve">Stan w Eternal Lite</t>
  </si>
  <si>
    <t xml:space="preserve">Ocena zakresu MVP modułu względem kodu aplikacji z gałęzi ccr-436ad650-eg2hjx. „—” w wierszach MLP i FINAL: etap jeszcze nie zaczęty.</t>
  </si>
  <si>
    <t xml:space="preserve">Rozbieżność w źródłach</t>
  </si>
  <si>
    <t xml:space="preserve">Arkusze 44 i 45 przypisują Innovation Hub, Forge Marketplace i Eternal Compatible do P5 Matrix; arkusze 13 i 14 — do P6 Hub i P7 Forge. Tu przyjęto podział z arkuszy 13 i 14.</t>
  </si>
  <si>
    <t xml:space="preserve">Arkusze</t>
  </si>
  <si>
    <t xml:space="preserve">PODSUMOWANIE — projekty i liczby modułów w klasach (formuły); P1…P7 — moduły na etapach; KOLEJKA_AI — co AI może budować najpierw; PRODUKTY_ETAPY — produkty i mikroprodukty na etapach (arkusz 44); KOMPONENTY — 137 komponentów z klasą pracy AI.</t>
  </si>
  <si>
    <t xml:space="preserve">Czego AI nie zrobi w żadnym projekcie</t>
  </si>
  <si>
    <t xml:space="preserve">Nie podpisze umów, nie założy kont u dostawców, nie przeprowadzi walidacji klinicznej ani certyfikacji, nie wyprodukuje sprzętu, nie zbierze nagrań i wyników do zbiorów testowych, nie zastąpi lekarza ani prawnika.</t>
  </si>
  <si>
    <t xml:space="preserve">Podsumowanie: projekty, etapy i klasy pracy AI</t>
  </si>
  <si>
    <t xml:space="preserve">Projekt</t>
  </si>
  <si>
    <t xml:space="preserve">Czym jest</t>
  </si>
  <si>
    <t xml:space="preserve">Co może zbudować AI</t>
  </si>
  <si>
    <t xml:space="preserve">Czego AI nie zrobi</t>
  </si>
  <si>
    <t xml:space="preserve">P1 Eternal App (oprogramowanie)</t>
  </si>
  <si>
    <t xml:space="preserve">Globalna aplikacja i oprogramowanie: App Core, Doctor / Clinic OS, Labs, Medication, Care Access, Wellness, Mental Health, Genetics, Pet, Women &amp; Family, Senior &amp; Rehab, Insurance, Employer, Research / API, Clinical Intelligence.</t>
  </si>
  <si>
    <t xml:space="preserve">Prawie całe oprogramowanie: aplikację pacjenta i panel kliniki, rdzeń danych, zgody, OCR i parser, Scribe, rezerwacje, leki, cele i plany, raporty, adaptery do dostawców.</t>
  </si>
  <si>
    <t xml:space="preserve">Konta i umowy z dostawcami (OCR, mowa, model, SMS, wideo), partnerów usług (laboratoria, lekarze, apteki), walidację i dopuszczenie dodatków MED, integrację z P1 przez uprawniony podmiot.</t>
  </si>
  <si>
    <t xml:space="preserve">P2 Eternal Station</t>
  </si>
  <si>
    <t xml:space="preserve">Domowe centrum: bramka urządzeń, monitoring zdalny, dozownik, Care Pod, diagnostyka domowa, stacja dla seniora.</t>
  </si>
  <si>
    <t xml:space="preserve">Oprogramowanie bramki i aplikacji, rejestr urządzeń, przebiegi monitoringu i eskalacji do zespołu opieki, integracje z API producentów.</t>
  </si>
  <si>
    <t xml:space="preserve">Sprzęt (OEM), certyfikowane urządzenia pomiarowe, personel kliniczny, serwis, obudowy, Care Pod.</t>
  </si>
  <si>
    <t xml:space="preserve">P3 Eternal Capsule</t>
  </si>
  <si>
    <t xml:space="preserve">Warstwa wewnątrzustrojowa: brama dla implantów i kapsułek, Bio-Tag, monitoring biomarkerów, interfejs neuro, terapie celowane.</t>
  </si>
  <si>
    <t xml:space="preserve">Protokół i rejestr urządzeń, ścieżki danych, oprogramowanie integrujące urządzenia partnerów, symulacje i demonstratory badawcze.</t>
  </si>
  <si>
    <t xml:space="preserve">Urządzenia i implanty, badania kliniczne, dopuszczenie, programy R&amp;D bez gotowego wykonawcy.</t>
  </si>
  <si>
    <t xml:space="preserve">P4 Eternal Digital Twin</t>
  </si>
  <si>
    <t xml:space="preserve">Profil podłużny i bliźniak: Digital Shadow, Twin Insights, modele chorób, bliźniak kliniczny, dziedzictwo, bliźniak populacyjny.</t>
  </si>
  <si>
    <t xml:space="preserve">Profil podłużny, korelacje opisowe i scenariusze, sejf dziedzictwa, rejestr modeli, środowisko badawcze.</t>
  </si>
  <si>
    <t xml:space="preserve">Lata danych, walidację modeli, partnerów naukowych (CRO, uczelnie), dopuszczenie bliźniaka klinicznego.</t>
  </si>
  <si>
    <t xml:space="preserve">P5 Eternal Matrix</t>
  </si>
  <si>
    <t xml:space="preserve">Społeczność i XR: Matrix Community, Immersive, Therapy / Presence.</t>
  </si>
  <si>
    <t xml:space="preserve">Forum z moderacją, wyzwania, edukację, wizualizacje 3D i XR na SDK.</t>
  </si>
  <si>
    <t xml:space="preserve">Moderację treści przez ludzi, partnerów terapii, sprzęt XR, personel kliniczny dla terapii.</t>
  </si>
  <si>
    <t xml:space="preserve">P6 Hub Innowatora</t>
  </si>
  <si>
    <t xml:space="preserve">Hub Innowatora: nabór, ocena, mentoring, granty i konsorcja.</t>
  </si>
  <si>
    <t xml:space="preserve">Całe oprogramowanie: nabór, oceny, przebieg grantów, repozytorium dokumentów.</t>
  </si>
  <si>
    <t xml:space="preserve">Mentorów, decyzje grantowe, umowy z partnerami.</t>
  </si>
  <si>
    <t xml:space="preserve">P7 Eternal Forge</t>
  </si>
  <si>
    <t xml:space="preserve">Forge i Eternal Compatible: rejestr technologii, marketplace dostawców i modeli, test zgodności technicznej.</t>
  </si>
  <si>
    <t xml:space="preserve">Rejestr i marketplace, katalog dostawców, zestaw testów zgodności adapterów, raporty.</t>
  </si>
  <si>
    <t xml:space="preserve">Umowy licencyjne, due diligence, decyzje o certyfikacji (zgodność techniczna, nie medyczna).</t>
  </si>
  <si>
    <t xml:space="preserve">Liczba konfiguracji modułów w klasach pracy AI (formuły z arkuszy P1…P7)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</si>
  <si>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</si>
  <si>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</si>
  <si>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</si>
  <si>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</si>
  <si>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</si>
  <si>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Razem</t>
  </si>
  <si>
    <t xml:space="preserve">A+B: AI buduje całość (udział)</t>
  </si>
  <si>
    <t xml:space="preserve">MVP</t>
  </si>
  <si>
    <t xml:space="preserve">MLP</t>
  </si>
  <si>
    <t xml:space="preserve">FINAL</t>
  </si>
  <si>
    <t xml:space="preserve">Legenda klas</t>
  </si>
  <si>
    <t xml:space="preserve">Co AI może budować najpierw: moduły MVP klasy A i B, których brakuje lub są częściowe w Eternal Lite</t>
  </si>
  <si>
    <t xml:space="preserve">Kolejność: termin z roadmapy, potem projekt i numer modułu. Klasa B wymaga po stronie człowieka konta lub umowy u dostawcy.</t>
  </si>
  <si>
    <t xml:space="preserve">Moduł ID</t>
  </si>
  <si>
    <t xml:space="preserve">Moduł produktowy</t>
  </si>
  <si>
    <t xml:space="preserve">Produkt</t>
  </si>
  <si>
    <t xml:space="preserve">Termin wg roadmapy</t>
  </si>
  <si>
    <t xml:space="preserve">Klasa</t>
  </si>
  <si>
    <t xml:space="preserve">Funkcjonalności MVP</t>
  </si>
  <si>
    <t xml:space="preserve">Co zrobi AI</t>
  </si>
  <si>
    <t xml:space="preserve">Co zrobi człowiek</t>
  </si>
  <si>
    <t xml:space="preserve">Uwaga</t>
  </si>
  <si>
    <t xml:space="preserve">M03</t>
  </si>
  <si>
    <t xml:space="preserve">Dokumenty i OCR</t>
  </si>
  <si>
    <t xml:space="preserve">Eternal App Core</t>
  </si>
  <si>
    <t xml:space="preserve">2026 H2</t>
  </si>
  <si>
    <t xml:space="preserve">OCR i korekta użytkownika</t>
  </si>
  <si>
    <t xml:space="preserve">częściowo: PDF z tekstem i polski rozbiór wyników; OCR zdjęć gotowy w kodzie, bez konta u dostawcy</t>
  </si>
  <si>
    <t xml:space="preserve">Kod: DAT05 Importer i parser dokumentów; DAT03 Pochodzenie danych i wersjonowanie
Adaptery i integracje: AI01 OCR
Testy automatyczne i dokumentacja techniczna</t>
  </si>
  <si>
    <t xml:space="preserve">Wybór dostawcy, konto, umowa powierzenia lub licencja: AI01 OCR
Akceptacja zakresu, testy z użytkownikami</t>
  </si>
  <si>
    <t xml:space="preserve">M14</t>
  </si>
  <si>
    <t xml:space="preserve">Lab Vault i OCR</t>
  </si>
  <si>
    <t xml:space="preserve">Eternal Labs</t>
  </si>
  <si>
    <t xml:space="preserve">Wgrywanie, OCR i historia wyników</t>
  </si>
  <si>
    <t xml:space="preserve">częściowo: wyniki z PDF z LOINC/UCUM i źródłem; brak osobnego Lab Vault</t>
  </si>
  <si>
    <t xml:space="preserve">Kod: DAT05 Importer i parser dokumentów; DAT03 Pochodzenie danych i wersjonowanie; APP02 Raport i zestawienie
Adaptery i integracje: AI01 OCR
Testy automatyczne i dokumentacja techniczna</t>
  </si>
  <si>
    <t xml:space="preserve">M16</t>
  </si>
  <si>
    <t xml:space="preserve">Interpretacja wyników laboratoryjnych</t>
  </si>
  <si>
    <t xml:space="preserve">Edukacyjne objaśnienie terminów</t>
  </si>
  <si>
    <t xml:space="preserve">brak</t>
  </si>
  <si>
    <t xml:space="preserve">Kod: AI04 Retriever RAG; APP12 Treści edukacyjne i audio; APP02 Raport i zestawienie
Testy automatyczne i dokumentacja techniczna</t>
  </si>
  <si>
    <t xml:space="preserve">Akceptacja zakresu, testy z użytkownikami</t>
  </si>
  <si>
    <t xml:space="preserve">Objaśnienie terminów ze słownika, bez oceny wyniku (granica wyrobu medycznego).</t>
  </si>
  <si>
    <t xml:space="preserve">M27</t>
  </si>
  <si>
    <t xml:space="preserve">Wywiad przed wizytą</t>
  </si>
  <si>
    <t xml:space="preserve">Eternal Doctor / Clinic OS</t>
  </si>
  <si>
    <t xml:space="preserve">Formularz przed wizytą</t>
  </si>
  <si>
    <t xml:space="preserve">częściowo: ankiety przed wizytą; brak wywiadu z asystentem</t>
  </si>
  <si>
    <t xml:space="preserve">Kod: APP04 Formularze i wywiad
Testy automatyczne i dokumentacja techniczna</t>
  </si>
  <si>
    <t xml:space="preserve">M28</t>
  </si>
  <si>
    <t xml:space="preserve">Integracje szpitalne, FHIR i krajowe</t>
  </si>
  <si>
    <t xml:space="preserve">Import/eksport plików</t>
  </si>
  <si>
    <t xml:space="preserve">częściowo: odczyt FHIR R4, adapter Medplum; brak łączników HIS i P1</t>
  </si>
  <si>
    <t xml:space="preserve">Kod: DAT05 Importer i parser dokumentów; DAT02 Mapper interoperacyjności
Testy automatyczne i dokumentacja techniczna</t>
  </si>
  <si>
    <t xml:space="preserve">M30</t>
  </si>
  <si>
    <t xml:space="preserve">Personalizacja dla wielu organizacji</t>
  </si>
  <si>
    <t xml:space="preserve">Role i konfiguracja kliniki</t>
  </si>
  <si>
    <t xml:space="preserve">częściowo: organizacje, moduły włączane per klinika, wdrożenie stopniowe; brak pakietów specjalizacji i marki</t>
  </si>
  <si>
    <t xml:space="preserve">Kod: CTL04 Izolacja organizacji; CTL02 Silnik uprawnień; APP29 Pakiety i subskrypcje
Testy automatyczne i dokumentacja techniczna</t>
  </si>
  <si>
    <t xml:space="preserve">M58</t>
  </si>
  <si>
    <t xml:space="preserve">Pet Health Passport</t>
  </si>
  <si>
    <t xml:space="preserve">Eternal Pet</t>
  </si>
  <si>
    <t xml:space="preserve">Paszport zwierzęcia i dokumenty</t>
  </si>
  <si>
    <t xml:space="preserve">Kod: APP24 Zwierzęta; DAT05 Importer i parser dokumentów
Testy automatyczne i dokumentacja techniczna</t>
  </si>
  <si>
    <t xml:space="preserve">M59</t>
  </si>
  <si>
    <t xml:space="preserve">Urządzenia dla zwierząt / teleweterynaria</t>
  </si>
  <si>
    <t xml:space="preserve">Tracker i katalog lecznic</t>
  </si>
  <si>
    <t xml:space="preserve">Kod: APP24 Zwierzęta; APP06 Rezerwacje
Adaptery i integracje: INT04 Adapter bezpośredni OEM
Testy automatyczne i dokumentacja techniczna</t>
  </si>
  <si>
    <t xml:space="preserve">Wybór dostawcy, konto, umowa powierzenia lub licencja: INT04 Adapter bezpośredni OEM
Akceptacja zakresu, testy z użytkownikami</t>
  </si>
  <si>
    <t xml:space="preserve">M62</t>
  </si>
  <si>
    <t xml:space="preserve">Senior / dostępność / opiekun</t>
  </si>
  <si>
    <t xml:space="preserve">Eternal Senior &amp; Rehab</t>
  </si>
  <si>
    <t xml:space="preserve">Dostępny interfejs i opiekun</t>
  </si>
  <si>
    <t xml:space="preserve">częściowo: dostępność interfejsu, osoby bliskie w SOS, udostępnienie karty</t>
  </si>
  <si>
    <t xml:space="preserve">Kod: APP18 Dostępność; APP17 Rodzina i opiekunowie
Testy automatyczne i dokumentacja techniczna</t>
  </si>
  <si>
    <t xml:space="preserve">M04</t>
  </si>
  <si>
    <t xml:space="preserve">Universal Sync</t>
  </si>
  <si>
    <t xml:space="preserve">2027 H1</t>
  </si>
  <si>
    <t xml:space="preserve">Universal Sync: jeden agregator, bez własnego urządzenia noszonego</t>
  </si>
  <si>
    <t xml:space="preserve">częściowo: Withings, Bluetooth w przeglądarce, dane z platform monitoringu (webhook); brak Terra, HealthKit, Health Connect</t>
  </si>
  <si>
    <t xml:space="preserve">Kod: DAT01 Kanoniczny rekord zdrowia; DAT03 Pochodzenie danych i wersjonowanie; DAT04 Deduplikacja i jakość danych
Adaptery i integracje: INT03 Adapter Terra
Testy automatyczne i dokumentacja techniczna</t>
  </si>
  <si>
    <t xml:space="preserve">Wybór dostawcy, konto, umowa powierzenia lub licencja: INT03 Adapter Terra
Akceptacja zakresu, testy z użytkownikami</t>
  </si>
  <si>
    <t xml:space="preserve">M18</t>
  </si>
  <si>
    <t xml:space="preserve">Krajowy pomost e-recepty i skierowań</t>
  </si>
  <si>
    <t xml:space="preserve">Eternal Medication</t>
  </si>
  <si>
    <t xml:space="preserve">Przechowanie recepty/skierowania</t>
  </si>
  <si>
    <t xml:space="preserve">brak: kod e-recepty widoczny w karcie po wizycie, bez pomostu do P1</t>
  </si>
  <si>
    <t xml:space="preserve">Kod: DAT05 Importer i parser dokumentów; APP19 Rejestr leków
Testy automatyczne i dokumentacja techniczna</t>
  </si>
  <si>
    <t xml:space="preserve">MVP to przechowanie recepty i skierowania; integracja z P1 tylko przez uprawniony podmiot.</t>
  </si>
  <si>
    <t xml:space="preserve">M31</t>
  </si>
  <si>
    <t xml:space="preserve">Dodatek Clinical Intelligence</t>
  </si>
  <si>
    <t xml:space="preserve">Eternal Clinical Intelligence</t>
  </si>
  <si>
    <t xml:space="preserve">Asystent informacyjny: współdzielony M69</t>
  </si>
  <si>
    <t xml:space="preserve">Kod: AI04 Retriever RAG; AI13 Weryfikator cytowań i odpowiedzi; APP12 Treści edukacyjne i audio
Adaptery i integracje: AI03 Model językowy
Testy automatyczne i dokumentacja techniczna</t>
  </si>
  <si>
    <t xml:space="preserve">Wybór dostawcy, konto, umowa powierzenia lub licencja: AI03 Model językowy
Akceptacja zakresu, testy z użytkownikami</t>
  </si>
  <si>
    <t xml:space="preserve">MVP wspólny z M69 (asystent informacyjny); każde nowe przeznaczenie wymaga oceny MDR.</t>
  </si>
  <si>
    <t xml:space="preserve">M64</t>
  </si>
  <si>
    <t xml:space="preserve">Portfel polis / porównanie</t>
  </si>
  <si>
    <t xml:space="preserve">Eternal Insurance / Benefits</t>
  </si>
  <si>
    <t xml:space="preserve">Portfel polis i porównanie</t>
  </si>
  <si>
    <t xml:space="preserve">Kod: APP26 Ubezpieczenia i świadczenia; DAT05 Importer i parser dokumentów
Testy automatyczne i dokumentacja techniczna</t>
  </si>
  <si>
    <t xml:space="preserve">M65</t>
  </si>
  <si>
    <t xml:space="preserve">Ścieżka oceny punktowej / underwritingu</t>
  </si>
  <si>
    <t xml:space="preserve">Analiza wykonalności; bez scoringu produkcyjnego</t>
  </si>
  <si>
    <t xml:space="preserve">Kod: APP16 Nabór i współpraca R&amp;D
Narzędzia i szablony dokumentów dla: CTL11 Brama przeznaczenia i kraju
Testy automatyczne i dokumentacja techniczna</t>
  </si>
  <si>
    <t xml:space="preserve">Prowadzenie procesu: CTL11 Brama przeznaczenia i kraju
Akceptacja zakresu, testy z użytkownikami</t>
  </si>
  <si>
    <t xml:space="preserve">Analiza wykonalności bez produkcyjnego scoringu; możliwy STOP.</t>
  </si>
  <si>
    <t xml:space="preserve">M66</t>
  </si>
  <si>
    <t xml:space="preserve">Pakiet wellness dla pracodawcy</t>
  </si>
  <si>
    <t xml:space="preserve">Eternal Employer / Population Health</t>
  </si>
  <si>
    <t xml:space="preserve">Dobrowolny program wellness</t>
  </si>
  <si>
    <t xml:space="preserve">Kod: APP29 Pakiety i subskrypcje; APP11 Cele i plany
Testy automatyczne i dokumentacja techniczna</t>
  </si>
  <si>
    <t xml:space="preserve">M67</t>
  </si>
  <si>
    <t xml:space="preserve">Zbiorcza analityka programu</t>
  </si>
  <si>
    <t xml:space="preserve">Raport z bezpiecznych agregatów</t>
  </si>
  <si>
    <t xml:space="preserve">Kod: APP27 Analityka programów; DAT09 Kohorty i środowisko badawcze
Testy automatyczne i dokumentacja techniczna</t>
  </si>
  <si>
    <t xml:space="preserve">M69</t>
  </si>
  <si>
    <t xml:space="preserve">Orkiestracja dowodów i AI</t>
  </si>
  <si>
    <t xml:space="preserve">Evidence Assistant</t>
  </si>
  <si>
    <t xml:space="preserve">RAG i cytowanie: edukacja, źródła, odmowa</t>
  </si>
  <si>
    <t xml:space="preserve">Kod: AI04 Retriever RAG; AI13 Weryfikator cytowań i odpowiedzi; APP12 Treści edukacyjne i audio
Adaptery i integracje: AI03 Model językowy; INF12 Indeks wyszukiwania
Testy automatyczne i dokumentacja techniczna</t>
  </si>
  <si>
    <t xml:space="preserve">Wybór dostawcy, konto, umowa powierzenia lub licencja: AI03 Model językowy; INF12 Indeks wyszukiwania
Akceptacja zakresu, testy z użytkownikami</t>
  </si>
  <si>
    <t xml:space="preserve">Odpowiedzi z cytowaniem i jawną odmową; ewaluacja przed każdym wydaniem.</t>
  </si>
  <si>
    <t xml:space="preserve">M07</t>
  </si>
  <si>
    <t xml:space="preserve">Sen</t>
  </si>
  <si>
    <t xml:space="preserve">Eternal Wellness Composer</t>
  </si>
  <si>
    <t xml:space="preserve">2027 H2</t>
  </si>
  <si>
    <t xml:space="preserve">Dziennik snu i edukacja</t>
  </si>
  <si>
    <t xml:space="preserve">Kod: APP21 Sen; APP12 Treści edukacyjne i audio
Testy automatyczne i dokumentacja techniczna</t>
  </si>
  <si>
    <t xml:space="preserve">M08</t>
  </si>
  <si>
    <t xml:space="preserve">Żywienie</t>
  </si>
  <si>
    <t xml:space="preserve">Dziennik posiłków i treści</t>
  </si>
  <si>
    <t xml:space="preserve">Kod: APP20 Żywienie; APP12 Treści edukacyjne i audio
Testy automatyczne i dokumentacja techniczna</t>
  </si>
  <si>
    <t xml:space="preserve">M09</t>
  </si>
  <si>
    <t xml:space="preserve">Fitness</t>
  </si>
  <si>
    <t xml:space="preserve">Aktywność i plan ogólny</t>
  </si>
  <si>
    <t xml:space="preserve">Kod: APP22 Ruch i trening; APP11 Cele i plany
Testy automatyczne i dokumentacja techniczna</t>
  </si>
  <si>
    <t xml:space="preserve">M10</t>
  </si>
  <si>
    <t xml:space="preserve">Środowisko / bio-pogoda</t>
  </si>
  <si>
    <t xml:space="preserve">Pogoda i środowisko</t>
  </si>
  <si>
    <t xml:space="preserve">Kod: APP12 Treści edukacyjne i audio
Adaptery i integracje: INT15 Dane środowiskowe
Testy automatyczne i dokumentacja techniczna</t>
  </si>
  <si>
    <t xml:space="preserve">Wybór dostawcy, konto, umowa powierzenia lub licencja: INT15 Dane środowiskowe
Akceptacja zakresu, testy z użytkownikami</t>
  </si>
  <si>
    <t xml:space="preserve">M11</t>
  </si>
  <si>
    <t xml:space="preserve">Długowieczność</t>
  </si>
  <si>
    <t xml:space="preserve">Trendy i edukacja profilaktyczna</t>
  </si>
  <si>
    <t xml:space="preserve">Kod: DAT07 Widok podłużny; APP10 Trendy i wskaźniki; APP12 Treści edukacyjne i audio
Testy automatyczne i dokumentacja techniczna</t>
  </si>
  <si>
    <t xml:space="preserve">M50</t>
  </si>
  <si>
    <t xml:space="preserve">Społeczność / wyzwania / edukacja</t>
  </si>
  <si>
    <t xml:space="preserve">Matrix Community</t>
  </si>
  <si>
    <t xml:space="preserve">2028 H1</t>
  </si>
  <si>
    <t xml:space="preserve">Treści i moderowana grupa</t>
  </si>
  <si>
    <t xml:space="preserve">Kod: APP12 Treści edukacyjne i audio; APP13 Społeczność
Testy automatyczne i dokumentacja techniczna</t>
  </si>
  <si>
    <t xml:space="preserve">M51</t>
  </si>
  <si>
    <t xml:space="preserve">Przestrzenie zdrowia AR/VR</t>
  </si>
  <si>
    <t xml:space="preserve">Matrix Immersive</t>
  </si>
  <si>
    <t xml:space="preserve">Wizualizacja w przeglądarce</t>
  </si>
  <si>
    <t xml:space="preserve">Kod: APP14 Wizualizacja 3D/XR; APP12 Treści edukacyjne i audio
Testy automatyczne i dokumentacja techniczna</t>
  </si>
  <si>
    <t xml:space="preserve">M53</t>
  </si>
  <si>
    <t xml:space="preserve">Wyszukiwanie / ocena / mentoring</t>
  </si>
  <si>
    <t xml:space="preserve">Innovation Hub</t>
  </si>
  <si>
    <t xml:space="preserve">Formularz zgłoszenia i ręczna ocena</t>
  </si>
  <si>
    <t xml:space="preserve">Kod: APP04 Formularze i wywiad; APP16 Nabór i współpraca R&amp;D
Testy automatyczne i dokumentacja techniczna</t>
  </si>
  <si>
    <t xml:space="preserve">M54</t>
  </si>
  <si>
    <t xml:space="preserve">Kreator grantów i konsorcjów</t>
  </si>
  <si>
    <t xml:space="preserve">Rejestr konkursów i dokumentacja</t>
  </si>
  <si>
    <t xml:space="preserve">Kod: APP16 Nabór i współpraca R&amp;D
Adaptery i integracje: INF03 Magazyn plików
Testy automatyczne i dokumentacja techniczna</t>
  </si>
  <si>
    <t xml:space="preserve">Wybór dostawcy, konto, umowa powierzenia lub licencja: INF03 Magazyn plików
Akceptacja zakresu, testy z użytkownikami</t>
  </si>
  <si>
    <t xml:space="preserve">M55</t>
  </si>
  <si>
    <t xml:space="preserve">Rejestr i marketplace technologii</t>
  </si>
  <si>
    <t xml:space="preserve">Forge Marketplace</t>
  </si>
  <si>
    <t xml:space="preserve">Katalog i ręczne due diligence</t>
  </si>
  <si>
    <t xml:space="preserve">Kod: APP15 Katalog technologii; CTL05 Katalog dostawców
Testy automatyczne i dokumentacja techniczna</t>
  </si>
  <si>
    <t xml:space="preserve">M56</t>
  </si>
  <si>
    <t xml:space="preserve">Certyfikacja zgodności</t>
  </si>
  <si>
    <t xml:space="preserve">Eternal Compatible</t>
  </si>
  <si>
    <t xml:space="preserve">Specyfikacja i ręczny test adaptera</t>
  </si>
  <si>
    <t xml:space="preserve">Kod: CTL07 Fabryka adapterów; CTL20 Rejestr funkcji
Testy automatyczne i dokumentacja techniczna</t>
  </si>
  <si>
    <t xml:space="preserve">M57</t>
  </si>
  <si>
    <t xml:space="preserve">Marketplace dostawców i modeli</t>
  </si>
  <si>
    <t xml:space="preserve">Rejestr wykonawców i wybór ręczny</t>
  </si>
  <si>
    <t xml:space="preserve">Kod: CTL05 Katalog dostawców; APP15 Katalog technologii
Testy automatyczne i dokumentacja techniczna</t>
  </si>
  <si>
    <t xml:space="preserve">M12</t>
  </si>
  <si>
    <t xml:space="preserve">Marketplace świadczeniodawców i rezerwacje</t>
  </si>
  <si>
    <t xml:space="preserve">Eternal Care Access</t>
  </si>
  <si>
    <t xml:space="preserve">nie ma toru w roadmapie</t>
  </si>
  <si>
    <t xml:space="preserve">Katalog i przekierowanie do partnera</t>
  </si>
  <si>
    <t xml:space="preserve">częściowo: rezerwacja w placówce; brak katalogu wielu świadczeniodawców</t>
  </si>
  <si>
    <t xml:space="preserve">Kod: APP06 Rezerwacje; APP15 Katalog technologii
Testy automatyczne i dokumentacja techniczna</t>
  </si>
  <si>
    <t xml:space="preserve">M19</t>
  </si>
  <si>
    <t xml:space="preserve">Dobrostan i dostęp w kryzysie</t>
  </si>
  <si>
    <t xml:space="preserve">Eternal Mental Health</t>
  </si>
  <si>
    <t xml:space="preserve">Dziennik, edukacja i pomoc kryzysowa</t>
  </si>
  <si>
    <t xml:space="preserve">częściowo: numery 112 i 116 123 zawsze widoczne, SOS; brak treści dobrostanu</t>
  </si>
  <si>
    <t xml:space="preserve">Kod: APP12 Treści edukacyjne i audio; APP28 Ścieżka pomocy kryzysowej; APP04 Formularze i wywiad
Testy automatyczne i dokumentacja techniczna</t>
  </si>
  <si>
    <t xml:space="preserve">Pomoc kryzysowa zawsze bezpłatna.</t>
  </si>
  <si>
    <t xml:space="preserve">M21</t>
  </si>
  <si>
    <t xml:space="preserve">Sejf genetyczny / dostęp do badań</t>
  </si>
  <si>
    <t xml:space="preserve">Eternal Genetics</t>
  </si>
  <si>
    <t xml:space="preserve">Sejf genetyczny: import raportu</t>
  </si>
  <si>
    <t xml:space="preserve">Kod: APP23 Dane genetyczne; DAT05 Importer i parser dokumentów; DAT03 Pochodzenie danych i wersjonowanie
Testy automatyczne i dokumentacja techniczna</t>
  </si>
  <si>
    <t xml:space="preserve">M22</t>
  </si>
  <si>
    <t xml:space="preserve">Interpretacja genetyczna i farmakogenomiczna</t>
  </si>
  <si>
    <t xml:space="preserve">Edukacja terminów genetycznych</t>
  </si>
  <si>
    <t xml:space="preserve">Kod: APP12 Treści edukacyjne i audio; APP23 Dane genetyczne
Testy automatyczne i dokumentacja techniczna</t>
  </si>
  <si>
    <t xml:space="preserve">M60</t>
  </si>
  <si>
    <t xml:space="preserve">Kobiety / płodność / ciąża</t>
  </si>
  <si>
    <t xml:space="preserve">Eternal Women &amp; Family</t>
  </si>
  <si>
    <t xml:space="preserve">brak osobnego toru; w torze rodziny MVP 2026 H2 to tylko dostępność</t>
  </si>
  <si>
    <t xml:space="preserve">Dziennik cyklu/ciąży i edukacja</t>
  </si>
  <si>
    <t xml:space="preserve">Kod: APP04 Formularze i wywiad; APP12 Treści edukacyjne i audio; APP09 Przypomnienia
Testy automatyczne i dokumentacja techniczna</t>
  </si>
  <si>
    <t xml:space="preserve">Bez funkcji antykoncepcyjnych (inne przeznaczenie, inny reżim).</t>
  </si>
  <si>
    <t xml:space="preserve">M61</t>
  </si>
  <si>
    <t xml:space="preserve">Zdrowie dziecka i rodziny</t>
  </si>
  <si>
    <t xml:space="preserve">Profil dziecka i opiekuna</t>
  </si>
  <si>
    <t xml:space="preserve">Kod: APP17 Rodzina i opiekunowie; DAT01 Kanoniczny rekord zdrowia
Testy automatyczne i dokumentacja techniczna</t>
  </si>
  <si>
    <t xml:space="preserve">M63</t>
  </si>
  <si>
    <t xml:space="preserve">Rehabilitacja / monitoring zdalny</t>
  </si>
  <si>
    <t xml:space="preserve">Plan terapeuty i rejestr ćwiczeń</t>
  </si>
  <si>
    <t xml:space="preserve">Kod: APP25 Senior i rehabilitacja; APP11 Cele i plany
Testy automatyczne i dokumentacja techniczna</t>
  </si>
  <si>
    <t xml:space="preserve">M36</t>
  </si>
  <si>
    <t xml:space="preserve">Inteligentny dozownik</t>
  </si>
  <si>
    <t xml:space="preserve">Eternal Station Core</t>
  </si>
  <si>
    <t xml:space="preserve">wymagania 2026 H2–2027 H2</t>
  </si>
  <si>
    <t xml:space="preserve">Przypomnienia; bez fizycznego dozowania</t>
  </si>
  <si>
    <t xml:space="preserve">Kod: APP19 Rejestr leków; APP09 Przypomnienia
Testy automatyczne i dokumentacja techniczna</t>
  </si>
  <si>
    <t xml:space="preserve">M38</t>
  </si>
  <si>
    <t xml:space="preserve">Bezpieczeństwo i rehabilitacja</t>
  </si>
  <si>
    <t xml:space="preserve">Eternal Rehab &amp; Senior Station</t>
  </si>
  <si>
    <t xml:space="preserve">Ćwiczenia i kontakt kontrolny opiekuna</t>
  </si>
  <si>
    <t xml:space="preserve">Kod: APP25 Senior i rehabilitacja; APP09 Przypomnienia; APP17 Rodzina i opiekunowie
Testy automatyczne i dokumentacja techniczna</t>
  </si>
  <si>
    <t xml:space="preserve">M39</t>
  </si>
  <si>
    <t xml:space="preserve">Protokół / rejestr urządzeń</t>
  </si>
  <si>
    <t xml:space="preserve">Capsule Gateway</t>
  </si>
  <si>
    <t xml:space="preserve">przegląd, bez terminu</t>
  </si>
  <si>
    <t xml:space="preserve">Rejestr urządzeń i raportów</t>
  </si>
  <si>
    <t xml:space="preserve">Kod: CTL16 Rejestr urządzeń; DAT05 Importer i parser dokumentów
Testy automatyczne i dokumentacja techniczna</t>
  </si>
  <si>
    <t xml:space="preserve">Rejestr urządzeń partnerów; bez własnego implantu.</t>
  </si>
  <si>
    <t xml:space="preserve">M41</t>
  </si>
  <si>
    <t xml:space="preserve">Ciągły monitoring biomarkerów</t>
  </si>
  <si>
    <t xml:space="preserve">Eternal Bio-Monitor</t>
  </si>
  <si>
    <t xml:space="preserve">Raport z dostępnego sensora</t>
  </si>
  <si>
    <t xml:space="preserve">Kod: DAT05 Importer i parser dokumentów
Adaptery i integracje: INT04 Adapter bezpośredni OEM
Testy automatyczne i dokumentacja techniczna</t>
  </si>
  <si>
    <t xml:space="preserve">Odczyt z czujnika partnera; wymaga umowy z producentem.</t>
  </si>
  <si>
    <t xml:space="preserve">M44</t>
  </si>
  <si>
    <t xml:space="preserve">Terapia / autonomiczne podawanie</t>
  </si>
  <si>
    <t xml:space="preserve">Hive / Swarm R&amp;D</t>
  </si>
  <si>
    <t xml:space="preserve">Hipotezy, symulacja i protokół</t>
  </si>
  <si>
    <t xml:space="preserve">Kod: APP16 Nabór i współpraca R&amp;D
Adaptery i integracje: AI08 Silnik symulacji
Testy automatyczne i dokumentacja techniczna</t>
  </si>
  <si>
    <t xml:space="preserve">Wybór dostawcy, konto, umowa powierzenia lub licencja: AI08 Silnik symulacji
Akceptacja zakresu, testy z użytkownikami</t>
  </si>
  <si>
    <t xml:space="preserve">Program badawczy; MVP to demonstrator symulacji, możliwy STOP.</t>
  </si>
  <si>
    <t xml:space="preserve">M45</t>
  </si>
  <si>
    <t xml:space="preserve">Profil podłużny</t>
  </si>
  <si>
    <t xml:space="preserve">Eternal Digital Shadow</t>
  </si>
  <si>
    <t xml:space="preserve">gromadzenie danych do 2028 H2</t>
  </si>
  <si>
    <t xml:space="preserve">Digital Shadow: historia faktów</t>
  </si>
  <si>
    <t xml:space="preserve">częściowo: oś czasu i wersje; brak wieloletniego widoku podłużnego</t>
  </si>
  <si>
    <t xml:space="preserve">Kod: DAT07 Widok podłużny; DAT03 Pochodzenie danych i wersjonowanie; APP10 Trendy i wskaźniki
Testy automatyczne i dokumentacja techniczna</t>
  </si>
  <si>
    <t xml:space="preserve">M46</t>
  </si>
  <si>
    <t xml:space="preserve">Korelacje / scenariusze „co jeśli" w wellness</t>
  </si>
  <si>
    <t xml:space="preserve">Twin Insights</t>
  </si>
  <si>
    <t xml:space="preserve">Wykresy i porównanie okresów</t>
  </si>
  <si>
    <t xml:space="preserve">Kod: APP10 Trendy i wskaźniki; DAT07 Widok podłużny
Testy automatyczne i dokumentacja techniczna</t>
  </si>
  <si>
    <t xml:space="preserve">M47</t>
  </si>
  <si>
    <t xml:space="preserve">Orkiestrator modeli chorób i narządów</t>
  </si>
  <si>
    <t xml:space="preserve">Predictive / Specialty Twin</t>
  </si>
  <si>
    <t xml:space="preserve">Rejestr modeli i demonstrator badawczy</t>
  </si>
  <si>
    <t xml:space="preserve">Kod: APP15 Katalog technologii
Adaptery i integracje: AI08 Silnik symulacji
Testy automatyczne i dokumentacja techniczna</t>
  </si>
  <si>
    <t xml:space="preserve">Demonstrator badawczy; symulacja nie zastępuje badania.</t>
  </si>
  <si>
    <t xml:space="preserve">M49</t>
  </si>
  <si>
    <t xml:space="preserve">Sejf dziedzictwa</t>
  </si>
  <si>
    <t xml:space="preserve">Eternal Legacy</t>
  </si>
  <si>
    <t xml:space="preserve">Eksport i archiwum</t>
  </si>
  <si>
    <t xml:space="preserve">Kod: DAT10 Archiwum długoterminowe
Adaptery i integracje: INF03 Magazyn plików
Testy automatyczne i dokumentacja techniczna</t>
  </si>
  <si>
    <t xml:space="preserve">Moduły produktowe projektu na etapach MVP → MLP → FINAL. Klasa: patrz CZYTAJ.</t>
  </si>
  <si>
    <t xml:space="preserve">Termin wg roadmapy (arkusz 50)</t>
  </si>
  <si>
    <t xml:space="preserve">Funkcjonalności i wynik etapu</t>
  </si>
  <si>
    <t xml:space="preserve">Zmiana względem poprzedniego etapu</t>
  </si>
  <si>
    <t xml:space="preserve">Komponenty: kod pisze AI</t>
  </si>
  <si>
    <t xml:space="preserve">Komponenty: AI pisze adapter, człowiek — konto, umowa, licencja lub proces</t>
  </si>
  <si>
    <t xml:space="preserve">Komponenty: partner, sprzęt, usługa fizyczna</t>
  </si>
  <si>
    <t xml:space="preserve">Komponenty: regulowane lub R&amp;D</t>
  </si>
  <si>
    <t xml:space="preserve">Klasa pracy AI</t>
  </si>
  <si>
    <t xml:space="preserve">Co zrobi człowiek lub partner</t>
  </si>
  <si>
    <t xml:space="preserve">Bramka przejścia / STOP</t>
  </si>
  <si>
    <t xml:space="preserve">Stan w Eternal Lite (zakres MVP)</t>
  </si>
  <si>
    <t xml:space="preserve">Konfiguracja (arkusz 45)</t>
  </si>
  <si>
    <t xml:space="preserve">M01</t>
  </si>
  <si>
    <t xml:space="preserve">Tożsamość / Eternal ID</t>
  </si>
  <si>
    <t xml:space="preserve">Logowanie i profil</t>
  </si>
  <si>
    <t xml:space="preserve">Wdrożyć minimum dla wyniku tego etapu; nie kupować automatycznie części MLP/FINAL.</t>
  </si>
  <si>
    <t xml:space="preserve">DAT01 Kanoniczny rekord zdrowia</t>
  </si>
  <si>
    <t xml:space="preserve">SYS01 Dostawca tożsamości</t>
  </si>
  <si>
    <t xml:space="preserve">—</t>
  </si>
  <si>
    <t xml:space="preserve">Kod: DAT01 Kanoniczny rekord zdrowia
Adaptery i integracje: SYS01 Dostawca tożsamości
Testy automatyczne i dokumentacja techniczna</t>
  </si>
  <si>
    <t xml:space="preserve">Wybór dostawcy, konto, umowa powierzenia lub licencja: SYS01 Dostawca tożsamości
Akceptacja zakresu, testy z użytkownikami</t>
  </si>
  <si>
    <t xml:space="preserve">Sprawdzone przypisanie osoby oraz uprawnień</t>
  </si>
  <si>
    <t xml:space="preserve">jest: konto, MFA (TOTP, klucze dostępu), logowanie OIDC, sesje mobilne; brak aliasów krajowych</t>
  </si>
  <si>
    <t xml:space="preserve">M01-MVP</t>
  </si>
  <si>
    <t xml:space="preserve">Zachować bazowe funkcjonalności; rozszerzenie: Role opiekuna i kliniki</t>
  </si>
  <si>
    <t xml:space="preserve">Dodać: SYS02, APP17. Wycofać/zastąpić: brak. Zachować kontrakt danych; test regresji i możliwość powrotu.</t>
  </si>
  <si>
    <t xml:space="preserve">DAT01 Kanoniczny rekord zdrowia
APP17 Rodzina i opiekunowie</t>
  </si>
  <si>
    <t xml:space="preserve">SYS01 Dostawca tożsamości
SYS02 Bezpieczeństwo urządzenia użytkownika</t>
  </si>
  <si>
    <t xml:space="preserve">Kod: DAT01 Kanoniczny rekord zdrowia; APP17 Rodzina i opiekunowie
Adaptery i integracje: SYS01 Dostawca tożsamości; SYS02 Bezpieczeństwo urządzenia użytkownika
Testy automatyczne i dokumentacja techniczna</t>
  </si>
  <si>
    <t xml:space="preserve">Wybór dostawcy, konto, umowa powierzenia lub licencja: SYS01 Dostawca tożsamości; SYS02 Bezpieczeństwo urządzenia użytkownika
Akceptacja zakresu, testy z użytkownikami</t>
  </si>
  <si>
    <t xml:space="preserve">M01-MLP</t>
  </si>
  <si>
    <t xml:space="preserve">2029 H1</t>
  </si>
  <si>
    <t xml:space="preserve">Zachować bazowe funkcjonalności; rozszerzenie: Federacja tożsamości i lokalne aliasy</t>
  </si>
  <si>
    <t xml:space="preserve">Dodać: SYS05. Wycofać/zastąpić: brak. Zachować kontrakt danych; test regresji i możliwość powrotu.</t>
  </si>
  <si>
    <t xml:space="preserve">SYS01 Dostawca tożsamości
SYS02 Bezpieczeństwo urządzenia użytkownika
SYS05 Podpis i weryfikacja tożsamości</t>
  </si>
  <si>
    <t xml:space="preserve">Kod: DAT01 Kanoniczny rekord zdrowia; APP17 Rodzina i opiekunowie
Adaptery i integracje: SYS01 Dostawca tożsamości; SYS02 Bezpieczeństwo urządzenia użytkownika; SYS05 Podpis i weryfikacja tożsamości
Testy automatyczne i dokumentacja techniczna</t>
  </si>
  <si>
    <t xml:space="preserve">Wybór dostawcy, konto, umowa powierzenia lub licencja: SYS01 Dostawca tożsamości; SYS02 Bezpieczeństwo urządzenia użytkownika; SYS05 Podpis i weryfikacja tożsamości
Akceptacja zakresu, testy z użytkownikami</t>
  </si>
  <si>
    <t xml:space="preserve">M01-FINAL</t>
  </si>
  <si>
    <t xml:space="preserve">M02</t>
  </si>
  <si>
    <t xml:space="preserve">Portfel danych zdrowotnych</t>
  </si>
  <si>
    <t xml:space="preserve">Import, magazyn dokumentów i eksport</t>
  </si>
  <si>
    <t xml:space="preserve">DAT05 Importer i parser dokumentów
DAT03 Pochodzenie danych i wersjonowanie</t>
  </si>
  <si>
    <t xml:space="preserve">INF03 Magazyn plików</t>
  </si>
  <si>
    <t xml:space="preserve">Kod: DAT05 Importer i parser dokumentów; DAT03 Pochodzenie danych i wersjonowanie
Adaptery i integracje: INF03 Magazyn plików
Testy automatyczne i dokumentacja techniczna</t>
  </si>
  <si>
    <t xml:space="preserve">Test eksportu, odwołania dostępu i odtworzenia</t>
  </si>
  <si>
    <t xml:space="preserve">jest: dokumenty, wersje FHIR R4, eksport CSV/PDF/FHIR; pliki w bazie zamiast magazynu obiektowego</t>
  </si>
  <si>
    <t xml:space="preserve">M02-MVP</t>
  </si>
  <si>
    <t xml:space="preserve">Zachować bazowe funkcjonalności; rozszerzenie: Wersjonowanie i kontrola udostępniania</t>
  </si>
  <si>
    <t xml:space="preserve">Dodać: DAT01, DAT08. Wycofać/zastąpić: brak. Zachować kontrakt danych; test regresji i możliwość powrotu.</t>
  </si>
  <si>
    <t xml:space="preserve">DAT05 Importer i parser dokumentów
DAT03 Pochodzenie danych i wersjonowanie
DAT01 Kanoniczny rekord zdrowia
DAT08 Pakiet udostępnienia</t>
  </si>
  <si>
    <t xml:space="preserve">Kod: DAT05 Importer i parser dokumentów; DAT03 Pochodzenie danych i wersjonowanie; DAT01 Kanoniczny rekord zdrowia; DAT08 Pakiet udostępnienia
Adaptery i integracje: INF03 Magazyn plików
Testy automatyczne i dokumentacja techniczna</t>
  </si>
  <si>
    <t xml:space="preserve">M02-MLP</t>
  </si>
  <si>
    <t xml:space="preserve">Zachować bazowe funkcjonalności; rozszerzenie: Przenośny portfel danych z wielu źródeł</t>
  </si>
  <si>
    <t xml:space="preserve">Dodać: DAT07, CTL15. Wycofać/zastąpić: brak. Zachować kontrakt danych; test regresji i możliwość powrotu.</t>
  </si>
  <si>
    <t xml:space="preserve">DAT05 Importer i parser dokumentów
DAT03 Pochodzenie danych i wersjonowanie
DAT01 Kanoniczny rekord zdrowia
DAT08 Pakiet udostępnienia
DAT07 Widok podłużny
CTL15 Retencja i eksport</t>
  </si>
  <si>
    <t xml:space="preserve">Kod: DAT05 Importer i parser dokumentów; DAT03 Pochodzenie danych i wersjonowanie; DAT01 Kanoniczny rekord zdrowia; DAT08 Pakiet udostępnienia; DAT07 Widok podłużny; CTL15 Retencja i eksport
Adaptery i integracje: INF03 Magazyn plików
Testy automatyczne i dokumentacja techniczna</t>
  </si>
  <si>
    <t xml:space="preserve">M02-FINAL</t>
  </si>
  <si>
    <t xml:space="preserve">AI01 OCR</t>
  </si>
  <si>
    <t xml:space="preserve">Jakość ekstrakcji i koszt dokumentu</t>
  </si>
  <si>
    <t xml:space="preserve">M03-MVP</t>
  </si>
  <si>
    <t xml:space="preserve">Zachować bazowe funkcjonalności; rozszerzenie: Parser pól, jednostek i deduplikacja</t>
  </si>
  <si>
    <t xml:space="preserve">Dodać: DAT04, DAT06. Wycofać/zastąpić: brak. Zachować kontrakt danych; test regresji i możliwość powrotu.</t>
  </si>
  <si>
    <t xml:space="preserve">DAT05 Importer i parser dokumentów
DAT03 Pochodzenie danych i wersjonowanie
DAT04 Deduplikacja i jakość danych</t>
  </si>
  <si>
    <t xml:space="preserve">AI01 OCR
DAT06 Terminologia</t>
  </si>
  <si>
    <t xml:space="preserve">Kod: DAT05 Importer i parser dokumentów; DAT03 Pochodzenie danych i wersjonowanie; DAT04 Deduplikacja i jakość danych
Adaptery i integracje: AI01 OCR; DAT06 Terminologia
Testy automatyczne i dokumentacja techniczna</t>
  </si>
  <si>
    <t xml:space="preserve">Wybór dostawcy, konto, umowa powierzenia lub licencja: AI01 OCR; DAT06 Terminologia
Akceptacja zakresu, testy z użytkownikami</t>
  </si>
  <si>
    <t xml:space="preserve">M03-MLP</t>
  </si>
  <si>
    <t xml:space="preserve">Zachować bazowe funkcjonalności; rozszerzenie: Wiele formatów; własny parser opcjonalnie</t>
  </si>
  <si>
    <t xml:space="preserve">Dodać: brak nowych klas. Wycofać/zastąpić: brak. Zachować kontrakt danych; test regresji i możliwość powrotu.</t>
  </si>
  <si>
    <t xml:space="preserve">M03-FINAL</t>
  </si>
  <si>
    <t xml:space="preserve">DAT01 Kanoniczny rekord zdrowia
DAT03 Pochodzenie danych i wersjonowanie
DAT04 Deduplikacja i jakość danych</t>
  </si>
  <si>
    <t xml:space="preserve">INT03 Adapter Terra</t>
  </si>
  <si>
    <t xml:space="preserve">Urządzenie–metryka–częstotliwość; test migracji; własne urządzenie noszone tylko dla wykazanej luki</t>
  </si>
  <si>
    <t xml:space="preserve">M04-MVP</t>
  </si>
  <si>
    <t xml:space="preserve">Zachować bazowe funkcjonalności; rozszerzenie: Drugi przetestowany adapter oraz źródła telefonu/OEM według luk</t>
  </si>
  <si>
    <t xml:space="preserve">Dodać: INT04, CTL06, CTL07. Wycofać/zastąpić: brak. Zachować kontrakt danych; test regresji i możliwość powrotu.</t>
  </si>
  <si>
    <t xml:space="preserve">DAT01 Kanoniczny rekord zdrowia
DAT03 Pochodzenie danych i wersjonowanie
DAT04 Deduplikacja i jakość danych
CTL06 Router dostawców
CTL07 Fabryka adapterów</t>
  </si>
  <si>
    <t xml:space="preserve">INT03 Adapter Terra
INT04 Adapter bezpośredni OEM</t>
  </si>
  <si>
    <t xml:space="preserve">Kod: DAT01 Kanoniczny rekord zdrowia; DAT03 Pochodzenie danych i wersjonowanie; DAT04 Deduplikacja i jakość danych; CTL06 Router dostawców; CTL07 Fabryka adapterów
Adaptery i integracje: INT03 Adapter Terra; INT04 Adapter bezpośredni OEM
Testy automatyczne i dokumentacja techniczna</t>
  </si>
  <si>
    <t xml:space="preserve">Wybór dostawcy, konto, umowa powierzenia lub licencja: INT03 Adapter Terra; INT04 Adapter bezpośredni OEM
Akceptacja zakresu, testy z użytkownikami</t>
  </si>
  <si>
    <t xml:space="preserve">M04-MLP</t>
  </si>
  <si>
    <t xml:space="preserve">Zachować bazowe funkcjonalności; rozszerzenie: Dobór źródeł według pokrycia, całkowitego kosztu i SLA</t>
  </si>
  <si>
    <t xml:space="preserve">M04-FINAL</t>
  </si>
  <si>
    <t xml:space="preserve">M05</t>
  </si>
  <si>
    <t xml:space="preserve">Oś czasu / raporty / Medical Snapshot Basic</t>
  </si>
  <si>
    <t xml:space="preserve">Chronologia i raport faktów</t>
  </si>
  <si>
    <t xml:space="preserve">DAT07 Widok podłużny
APP02 Raport i zestawienie</t>
  </si>
  <si>
    <t xml:space="preserve">Kod: DAT07 Widok podłużny; APP02 Raport i zestawienie
Testy automatyczne i dokumentacja techniczna</t>
  </si>
  <si>
    <t xml:space="preserve">Każdy fakt ma źródło; raport faktów nie dodaje diagnozy</t>
  </si>
  <si>
    <t xml:space="preserve">jest: oś czasu z wersjami, raport faktów, PDF</t>
  </si>
  <si>
    <t xml:space="preserve">M05-MVP</t>
  </si>
  <si>
    <t xml:space="preserve">Zachować bazowe funkcjonalności; rozszerzenie: Porównanie okresów i szablony</t>
  </si>
  <si>
    <t xml:space="preserve">Dodać: APP10. Wycofać/zastąpić: brak. Zachować kontrakt danych; test regresji i możliwość powrotu.</t>
  </si>
  <si>
    <t xml:space="preserve">DAT07 Widok podłużny
APP02 Raport i zestawienie
APP10 Trendy i wskaźniki</t>
  </si>
  <si>
    <t xml:space="preserve">Kod: DAT07 Widok podłużny; APP02 Raport i zestawienie; APP10 Trendy i wskaźniki
Testy automatyczne i dokumentacja techniczna</t>
  </si>
  <si>
    <t xml:space="preserve">M05-MLP</t>
  </si>
  <si>
    <t xml:space="preserve">Zachować bazowe funkcjonalności; rozszerzenie: Raporty dla pacjenta i specjalisty</t>
  </si>
  <si>
    <t xml:space="preserve">Dodać: DAT08. Wycofać/zastąpić: brak. Zachować kontrakt danych; test regresji i możliwość powrotu.</t>
  </si>
  <si>
    <t xml:space="preserve">DAT07 Widok podłużny
APP02 Raport i zestawienie
APP10 Trendy i wskaźniki
DAT08 Pakiet udostępnienia</t>
  </si>
  <si>
    <t xml:space="preserve">Kod: DAT07 Widok podłużny; APP02 Raport i zestawienie; APP10 Trendy i wskaźniki; DAT08 Pakiet udostępnienia
Testy automatyczne i dokumentacja techniczna</t>
  </si>
  <si>
    <t xml:space="preserve">M05-FINAL</t>
  </si>
  <si>
    <t xml:space="preserve">M06</t>
  </si>
  <si>
    <t xml:space="preserve">Powiadomienia / kalendarz</t>
  </si>
  <si>
    <t xml:space="preserve">Przypomnienie i kalendarz</t>
  </si>
  <si>
    <t xml:space="preserve">APP09 Przypomnienia</t>
  </si>
  <si>
    <t xml:space="preserve">SYS03 Wysyłka komunikatów</t>
  </si>
  <si>
    <t xml:space="preserve">Kod: APP09 Przypomnienia
Adaptery i integracje: SYS03 Wysyłka komunikatów
Testy automatyczne i dokumentacja techniczna</t>
  </si>
  <si>
    <t xml:space="preserve">Wybór dostawcy, konto, umowa powierzenia lub licencja: SYS03 Wysyłka komunikatów
Akceptacja zakresu, testy z użytkownikami</t>
  </si>
  <si>
    <t xml:space="preserve">Dostarczalność i deduplikacja</t>
  </si>
  <si>
    <t xml:space="preserve">jest: przypomnienia, powiadomienia push/e-mail/SMS, godziny ciszy</t>
  </si>
  <si>
    <t xml:space="preserve">M06-MVP</t>
  </si>
  <si>
    <t xml:space="preserve">Zachować bazowe funkcjonalności; rozszerzenie: Połączenie wizyt i zadań</t>
  </si>
  <si>
    <t xml:space="preserve">Dodać: INT13. Wycofać/zastąpić: brak. Zachować kontrakt danych; test regresji i możliwość powrotu.</t>
  </si>
  <si>
    <t xml:space="preserve">SYS03 Wysyłka komunikatów
INT13 Adapter kalendarza</t>
  </si>
  <si>
    <t xml:space="preserve">Kod: APP09 Przypomnienia
Adaptery i integracje: SYS03 Wysyłka komunikatów; INT13 Adapter kalendarza
Testy automatyczne i dokumentacja techniczna</t>
  </si>
  <si>
    <t xml:space="preserve">Wybór dostawcy, konto, umowa powierzenia lub licencja: SYS03 Wysyłka komunikatów; INT13 Adapter kalendarza
Akceptacja zakresu, testy z użytkownikami</t>
  </si>
  <si>
    <t xml:space="preserve">M06-MLP</t>
  </si>
  <si>
    <t xml:space="preserve">Zachować bazowe funkcjonalności; rozszerzenie: Wielokanałowe reguły dostarczenia</t>
  </si>
  <si>
    <t xml:space="preserve">Dodać: CTL18. Wycofać/zastąpić: brak. Zachować kontrakt danych; test regresji i możliwość powrotu.</t>
  </si>
  <si>
    <t xml:space="preserve">APP09 Przypomnienia
CTL18 Reguły i orkiestracja</t>
  </si>
  <si>
    <t xml:space="preserve">Kod: APP09 Przypomnienia; CTL18 Reguły i orkiestracja
Adaptery i integracje: SYS03 Wysyłka komunikatów; INT13 Adapter kalendarza
Testy automatyczne i dokumentacja techniczna</t>
  </si>
  <si>
    <t xml:space="preserve">M06-FINAL</t>
  </si>
  <si>
    <t xml:space="preserve">APP21 Sen
APP12 Treści edukacyjne i audio</t>
  </si>
  <si>
    <t xml:space="preserve">Efekt programu; rozpoznawanie zaburzeń poza zakresem wellness</t>
  </si>
  <si>
    <t xml:space="preserve">M07-MVP</t>
  </si>
  <si>
    <t xml:space="preserve">2028 H2</t>
  </si>
  <si>
    <t xml:space="preserve">Zachować bazowe funkcjonalności; rozszerzenie: Trendy i cele higieny snu</t>
  </si>
  <si>
    <t xml:space="preserve">Dodać: APP10, APP11. Wycofać/zastąpić: brak. Zachować kontrakt danych; test regresji i możliwość powrotu.</t>
  </si>
  <si>
    <t xml:space="preserve">APP21 Sen
APP12 Treści edukacyjne i audio
APP10 Trendy i wskaźniki
APP11 Cele i plany</t>
  </si>
  <si>
    <t xml:space="preserve">Kod: APP21 Sen; APP12 Treści edukacyjne i audio; APP10 Trendy i wskaźniki; APP11 Cele i plany
Testy automatyczne i dokumentacja techniczna</t>
  </si>
  <si>
    <t xml:space="preserve">M07-MLP</t>
  </si>
  <si>
    <t xml:space="preserve">2030+</t>
  </si>
  <si>
    <t xml:space="preserve">Zachować bazowe funkcjonalności; rozszerzenie: Program snu; kliniczne rozszerzenie przez specjalistę</t>
  </si>
  <si>
    <t xml:space="preserve">Dodać: SVC05. Wycofać/zastąpić: brak. Zachować kontrakt danych; test regresji i możliwość powrotu.</t>
  </si>
  <si>
    <t xml:space="preserve">SVC05 Personel kliniczny</t>
  </si>
  <si>
    <t xml:space="preserve">Kod: APP21 Sen; APP12 Treści edukacyjne i audio; APP10 Trendy i wskaźniki; APP11 Cele i plany
Integracja programowa z: SVC05 Personel kliniczny
Testy automatyczne i dokumentacja techniczna</t>
  </si>
  <si>
    <t xml:space="preserve">Umowa z partnerem, zakup lub personel: SVC05 Personel kliniczny
Akceptacja zakresu, testy z użytkownikami</t>
  </si>
  <si>
    <t xml:space="preserve">M07-FINAL</t>
  </si>
  <si>
    <t xml:space="preserve">APP20 Żywienie
APP12 Treści edukacyjne i audio</t>
  </si>
  <si>
    <t xml:space="preserve">Błąd rozpoznania, adherencja i zakres usługi specjalisty</t>
  </si>
  <si>
    <t xml:space="preserve">M08-MVP</t>
  </si>
  <si>
    <t xml:space="preserve">Zachować bazowe funkcjonalności; rozszerzenie: Rozpoznanie posiłku z korektą i plan ogólny</t>
  </si>
  <si>
    <t xml:space="preserve">Dodać: AI10, APP11. Wycofać/zastąpić: brak. Zachować kontrakt danych; test regresji i możliwość powrotu.</t>
  </si>
  <si>
    <t xml:space="preserve">APP20 Żywienie
APP12 Treści edukacyjne i audio
APP11 Cele i plany</t>
  </si>
  <si>
    <t xml:space="preserve">AI10 Analiza obrazowa</t>
  </si>
  <si>
    <t xml:space="preserve">Kod: APP20 Żywienie; APP12 Treści edukacyjne i audio; APP11 Cele i plany
Kod i dokumentacja techniczna dla: AI10 Analiza obrazowa
Testy automatyczne i dokumentacja techniczna</t>
  </si>
  <si>
    <t xml:space="preserve">Walidacja kliniczna, QMS i dopuszczenie: AI10 Analiza obrazowa
Akceptacja zakresu, testy z użytkownikami</t>
  </si>
  <si>
    <t xml:space="preserve">M08-MLP</t>
  </si>
  <si>
    <t xml:space="preserve">Zachować bazowe funkcjonalności; rozszerzenie: Program z dietetykiem</t>
  </si>
  <si>
    <t xml:space="preserve">Kod: APP20 Żywienie; APP12 Treści edukacyjne i audio; APP11 Cele i plany
Integracja programowa z: SVC05 Personel kliniczny
Kod i dokumentacja techniczna dla: AI10 Analiza obrazowa
Testy automatyczne i dokumentacja techniczna</t>
  </si>
  <si>
    <t xml:space="preserve">Umowa z partnerem, zakup lub personel: SVC05 Personel kliniczny
Walidacja kliniczna, QMS i dopuszczenie: AI10 Analiza obrazowa
Akceptacja zakresu, testy z użytkownikami</t>
  </si>
  <si>
    <t xml:space="preserve">M08-FINAL</t>
  </si>
  <si>
    <t xml:space="preserve">APP22 Ruch i trening
APP11 Cele i plany</t>
  </si>
  <si>
    <t xml:space="preserve">Jakość pomiaru i koszt sesji</t>
  </si>
  <si>
    <t xml:space="preserve">M09-MVP</t>
  </si>
  <si>
    <t xml:space="preserve">Zachować bazowe funkcjonalności; rozszerzenie: Postęp i analiza ruchu</t>
  </si>
  <si>
    <t xml:space="preserve">Dodać: AI06, APP10. Wycofać/zastąpić: brak. Zachować kontrakt danych; test regresji i możliwość powrotu.</t>
  </si>
  <si>
    <t xml:space="preserve">APP22 Ruch i trening
APP11 Cele i plany
APP10 Trendy i wskaźniki</t>
  </si>
  <si>
    <t xml:space="preserve">AI06 Ocena pozy ruchowej</t>
  </si>
  <si>
    <t xml:space="preserve">Kod: APP22 Ruch i trening; APP11 Cele i plany; APP10 Trendy i wskaźniki
Adaptery i integracje: AI06 Ocena pozy ruchowej
Testy automatyczne i dokumentacja techniczna</t>
  </si>
  <si>
    <t xml:space="preserve">Wybór dostawcy, konto, umowa powierzenia lub licencja: AI06 Ocena pozy ruchowej
Akceptacja zakresu, testy z użytkownikami</t>
  </si>
  <si>
    <t xml:space="preserve">M09-MLP</t>
  </si>
  <si>
    <t xml:space="preserve">Zachować bazowe funkcjonalności; rozszerzenie: Program trenera lub rehabilitanta</t>
  </si>
  <si>
    <t xml:space="preserve">Kod: APP22 Ruch i trening; APP11 Cele i plany; APP10 Trendy i wskaźniki
Adaptery i integracje: AI06 Ocena pozy ruchowej
Integracja programowa z: SVC05 Personel kliniczny
Testy automatyczne i dokumentacja techniczna</t>
  </si>
  <si>
    <t xml:space="preserve">Wybór dostawcy, konto, umowa powierzenia lub licencja: AI06 Ocena pozy ruchowej
Umowa z partnerem, zakup lub personel: SVC05 Personel kliniczny
Akceptacja zakresu, testy z użytkownikami</t>
  </si>
  <si>
    <t xml:space="preserve">M09-FINAL</t>
  </si>
  <si>
    <t xml:space="preserve">APP12 Treści edukacyjne i audio</t>
  </si>
  <si>
    <t xml:space="preserve">INT15 Dane środowiskowe</t>
  </si>
  <si>
    <t xml:space="preserve">Pokrycie geograficzne; korelacja nie dowodzi przyczyny</t>
  </si>
  <si>
    <t xml:space="preserve">M10-MVP</t>
  </si>
  <si>
    <t xml:space="preserve">Zachować bazowe funkcjonalności; rozszerzenie: Ekspozycja połączona z dziennikiem</t>
  </si>
  <si>
    <t xml:space="preserve">Dodać: DAT07, APP10. Wycofać/zastąpić: brak. Zachować kontrakt danych; test regresji i możliwość powrotu.</t>
  </si>
  <si>
    <t xml:space="preserve">APP12 Treści edukacyjne i audio
DAT07 Widok podłużny
APP10 Trendy i wskaźniki</t>
  </si>
  <si>
    <t xml:space="preserve">Kod: APP12 Treści edukacyjne i audio; DAT07 Widok podłużny; APP10 Trendy i wskaźniki
Adaptery i integracje: INT15 Dane środowiskowe
Testy automatyczne i dokumentacja techniczna</t>
  </si>
  <si>
    <t xml:space="preserve">M10-MLP</t>
  </si>
  <si>
    <t xml:space="preserve">Zachować bazowe funkcjonalności; rozszerzenie: Scenariusze wellness</t>
  </si>
  <si>
    <t xml:space="preserve">Dodać: APP11. Wycofać/zastąpić: brak. Zachować kontrakt danych; test regresji i możliwość powrotu.</t>
  </si>
  <si>
    <t xml:space="preserve">APP12 Treści edukacyjne i audio
DAT07 Widok podłużny
APP10 Trendy i wskaźniki
APP11 Cele i plany</t>
  </si>
  <si>
    <t xml:space="preserve">Kod: APP12 Treści edukacyjne i audio; DAT07 Widok podłużny; APP10 Trendy i wskaźniki; APP11 Cele i plany
Adaptery i integracje: INT15 Dane środowiskowe
Testy automatyczne i dokumentacja techniczna</t>
  </si>
  <si>
    <t xml:space="preserve">M10-FINAL</t>
  </si>
  <si>
    <t xml:space="preserve">DAT07 Widok podłużny
APP10 Trendy i wskaźniki
APP12 Treści edukacyjne i audio</t>
  </si>
  <si>
    <t xml:space="preserve">Walidacja wskaźników; brak obietnicy wydłużenia życia</t>
  </si>
  <si>
    <t xml:space="preserve">M11-MVP</t>
  </si>
  <si>
    <t xml:space="preserve">Zachować bazowe funkcjonalności; rozszerzenie: Cele i dostęp do partnerów</t>
  </si>
  <si>
    <t xml:space="preserve">Dodać: APP11, APP06, SVC05. Wycofać/zastąpić: brak. Zachować kontrakt danych; test regresji i możliwość powrotu.</t>
  </si>
  <si>
    <t xml:space="preserve">DAT07 Widok podłużny
APP10 Trendy i wskaźniki
APP12 Treści edukacyjne i audio
APP11 Cele i plany
APP06 Rezerwacje</t>
  </si>
  <si>
    <t xml:space="preserve">Kod: DAT07 Widok podłużny; APP10 Trendy i wskaźniki; APP12 Treści edukacyjne i audio; APP11 Cele i plany; APP06 Rezerwacje
Integracja programowa z: SVC05 Personel kliniczny
Testy automatyczne i dokumentacja techniczna</t>
  </si>
  <si>
    <t xml:space="preserve">M11-MLP</t>
  </si>
  <si>
    <t xml:space="preserve">Zachować bazowe funkcjonalności; rozszerzenie: Program profilaktyki z ocenionymi miernikami</t>
  </si>
  <si>
    <t xml:space="preserve">Dodać: AI07. Wycofać/zastąpić: brak. Zachować kontrakt danych; test regresji i możliwość powrotu.</t>
  </si>
  <si>
    <t xml:space="preserve">AI07 Model wskazania klinicznego</t>
  </si>
  <si>
    <t xml:space="preserve">Kod: DAT07 Widok podłużny; APP10 Trendy i wskaźniki; APP12 Treści edukacyjne i audio; APP11 Cele i plany; APP06 Rezerwacje
Integracja programowa z: SVC05 Personel kliniczny
Kod i dokumentacja techniczna dla: AI07 Model wskazania klinicznego
Testy automatyczne i dokumentacja techniczna</t>
  </si>
  <si>
    <t xml:space="preserve">Umowa z partnerem, zakup lub personel: SVC05 Personel kliniczny
Walidacja kliniczna, QMS i dopuszczenie: AI07 Model wskazania klinicznego
Akceptacja zakresu, testy z użytkownikami</t>
  </si>
  <si>
    <t xml:space="preserve">M11-FINAL</t>
  </si>
  <si>
    <t xml:space="preserve">APP06 Rezerwacje
APP15 Katalog technologii</t>
  </si>
  <si>
    <t xml:space="preserve">Umowa, dostępność terminów i zwroty</t>
  </si>
  <si>
    <t xml:space="preserve">M12-MVP</t>
  </si>
  <si>
    <t xml:space="preserve">Zachować bazowe funkcjonalności; rozszerzenie: Rezerwacja, płatność i status</t>
  </si>
  <si>
    <t xml:space="preserve">Dodać: SYS04, INT13. Wycofać/zastąpić: brak. Zachować kontrakt danych; test regresji i możliwość powrotu.</t>
  </si>
  <si>
    <t xml:space="preserve">SYS04 Płatności
INT13 Adapter kalendarza</t>
  </si>
  <si>
    <t xml:space="preserve">Kod: APP06 Rezerwacje; APP15 Katalog technologii
Adaptery i integracje: SYS04 Płatności; INT13 Adapter kalendarza
Testy automatyczne i dokumentacja techniczna</t>
  </si>
  <si>
    <t xml:space="preserve">Wybór dostawcy, konto, umowa powierzenia lub licencja: SYS04 Płatności; INT13 Adapter kalendarza
Akceptacja zakresu, testy z użytkownikami</t>
  </si>
  <si>
    <t xml:space="preserve">M12-MLP</t>
  </si>
  <si>
    <t xml:space="preserve">Zachować bazowe funkcjonalności; rozszerzenie: Marketplace i rozliczenia partnerów</t>
  </si>
  <si>
    <t xml:space="preserve">Dodać: CTL10, DAT08. Wycofać/zastąpić: brak. Zachować kontrakt danych; test regresji i możliwość powrotu.</t>
  </si>
  <si>
    <t xml:space="preserve">APP06 Rezerwacje
APP15 Katalog technologii
CTL10 Rozliczenie partnera
DAT08 Pakiet udostępnienia</t>
  </si>
  <si>
    <t xml:space="preserve">Kod: APP06 Rezerwacje; APP15 Katalog technologii; CTL10 Rozliczenie partnera; DAT08 Pakiet udostępnienia
Adaptery i integracje: SYS04 Płatności; INT13 Adapter kalendarza
Testy automatyczne i dokumentacja techniczna</t>
  </si>
  <si>
    <t xml:space="preserve">M12-FINAL</t>
  </si>
  <si>
    <t xml:space="preserve">M13</t>
  </si>
  <si>
    <t xml:space="preserve">Telemedycyna</t>
  </si>
  <si>
    <t xml:space="preserve">Przekazanie do telemedycyny partnera</t>
  </si>
  <si>
    <t xml:space="preserve">APP06 Rezerwacje
DAT08 Pakiet udostępnienia</t>
  </si>
  <si>
    <t xml:space="preserve">Kod: APP06 Rezerwacje; DAT08 Pakiet udostępnienia
Integracja programowa z: SVC05 Personel kliniczny
Testy automatyczne i dokumentacja techniczna</t>
  </si>
  <si>
    <t xml:space="preserve">Uprawnienia świadczeniodawcy i kraj usługi</t>
  </si>
  <si>
    <t xml:space="preserve">częściowo: wizyta wideo (Jitsi/Whereby) z poczekalnią</t>
  </si>
  <si>
    <t xml:space="preserve">M13-MVP</t>
  </si>
  <si>
    <t xml:space="preserve">Zachować bazowe funkcjonalności; rozszerzenie: Wbudowana wizyta video</t>
  </si>
  <si>
    <t xml:space="preserve">Dodać: APP07, APP08. Wycofać/zastąpić: brak. Zachować kontrakt danych; test regresji i możliwość powrotu.</t>
  </si>
  <si>
    <t xml:space="preserve">APP06 Rezerwacje
DAT08 Pakiet udostępnienia
APP08 Wiadomości</t>
  </si>
  <si>
    <t xml:space="preserve">APP07 Wideokonsultacja</t>
  </si>
  <si>
    <t xml:space="preserve">Kod: APP06 Rezerwacje; DAT08 Pakiet udostępnienia; APP08 Wiadomości
Adaptery i integracje: APP07 Wideokonsultacja
Integracja programowa z: SVC05 Personel kliniczny
Testy automatyczne i dokumentacja techniczna</t>
  </si>
  <si>
    <t xml:space="preserve">Wybór dostawcy, konto, umowa powierzenia lub licencja: APP07 Wideokonsultacja
Umowa z partnerem, zakup lub personel: SVC05 Personel kliniczny
Akceptacja zakresu, testy z użytkownikami</t>
  </si>
  <si>
    <t xml:space="preserve">M13-MLP</t>
  </si>
  <si>
    <t xml:space="preserve">Zachować bazowe funkcjonalności; rozszerzenie: Opieka wielu specjalistów</t>
  </si>
  <si>
    <t xml:space="preserve">Dodać: APP09. Wycofać/zastąpić: brak. Zachować kontrakt danych; test regresji i możliwość powrotu.</t>
  </si>
  <si>
    <t xml:space="preserve">APP06 Rezerwacje
DAT08 Pakiet udostępnienia
APP08 Wiadomości
APP09 Przypomnienia</t>
  </si>
  <si>
    <t xml:space="preserve">Kod: APP06 Rezerwacje; DAT08 Pakiet udostępnienia; APP08 Wiadomości; APP09 Przypomnienia
Adaptery i integracje: APP07 Wideokonsultacja
Integracja programowa z: SVC05 Personel kliniczny
Testy automatyczne i dokumentacja techniczna</t>
  </si>
  <si>
    <t xml:space="preserve">M13-FINAL</t>
  </si>
  <si>
    <t xml:space="preserve">DAT05 Importer i parser dokumentów
DAT03 Pochodzenie danych i wersjonowanie
APP02 Raport i zestawienie</t>
  </si>
  <si>
    <t xml:space="preserve">Jednostki, zakresy referencyjne i identyfikacja pacjenta</t>
  </si>
  <si>
    <t xml:space="preserve">M14-MVP</t>
  </si>
  <si>
    <t xml:space="preserve">Zachować bazowe funkcjonalności; rozszerzenie: Wyniki z LIS i kontrola jednostek</t>
  </si>
  <si>
    <t xml:space="preserve">Dodać: INT11, DAT04, DAT06. Wycofać/zastąpić: brak. Zachować kontrakt danych; test regresji i możliwość powrotu.</t>
  </si>
  <si>
    <t xml:space="preserve">DAT05 Importer i parser dokumentów
DAT03 Pochodzenie danych i wersjonowanie
APP02 Raport i zestawienie
DAT04 Deduplikacja i jakość danych</t>
  </si>
  <si>
    <t xml:space="preserve">AI01 OCR
INT11 Adapter LIS
DAT06 Terminologia</t>
  </si>
  <si>
    <t xml:space="preserve">Kod: DAT05 Importer i parser dokumentów; DAT03 Pochodzenie danych i wersjonowanie; APP02 Raport i zestawienie; DAT04 Deduplikacja i jakość danych
Adaptery i integracje: AI01 OCR; INT11 Adapter LIS; DAT06 Terminologia
Testy automatyczne i dokumentacja techniczna</t>
  </si>
  <si>
    <t xml:space="preserve">Wybór dostawcy, konto, umowa powierzenia lub licencja: AI01 OCR; INT11 Adapter LIS; DAT06 Terminologia
Akceptacja zakresu, testy z użytkownikami</t>
  </si>
  <si>
    <t xml:space="preserve">M14-MLP</t>
  </si>
  <si>
    <t xml:space="preserve">Zachować bazowe funkcjonalności; rozszerzenie: Lab Vault wielu laboratoriów także jako API</t>
  </si>
  <si>
    <t xml:space="preserve">Dodać: DAT01, DAT07, DAT08. Wycofać/zastąpić: brak. Zachować kontrakt danych; test regresji i możliwość powrotu.</t>
  </si>
  <si>
    <t xml:space="preserve">DAT05 Importer i parser dokumentów
DAT03 Pochodzenie danych i wersjonowanie
APP02 Raport i zestawienie
DAT04 Deduplikacja i jakość danych
DAT01 Kanoniczny rekord zdrowia
DAT07 Widok podłużny
DAT08 Pakiet udostępnienia</t>
  </si>
  <si>
    <t xml:space="preserve">Kod: DAT05 Importer i parser dokumentów; DAT03 Pochodzenie danych i wersjonowanie; APP02 Raport i zestawienie; DAT04 Deduplikacja i jakość danych; DAT01 Kanoniczny rekord zdrowia; DAT07 Widok podłużny; DAT08 Pakiet udostępnienia
Adaptery i integracje: AI01 OCR; INT11 Adapter LIS; DAT06 Terminologia
Testy automatyczne i dokumentacja techniczna</t>
  </si>
  <si>
    <t xml:space="preserve">M14-FINAL</t>
  </si>
  <si>
    <t xml:space="preserve">M15</t>
  </si>
  <si>
    <t xml:space="preserve">Rezerwacja badań / marketplace</t>
  </si>
  <si>
    <t xml:space="preserve">Katalog i przekierowanie na badanie</t>
  </si>
  <si>
    <t xml:space="preserve">APP06 Rezerwacje</t>
  </si>
  <si>
    <t xml:space="preserve">SVC01 Laboratorium wykonujące badanie</t>
  </si>
  <si>
    <t xml:space="preserve">Kod: APP06 Rezerwacje
Integracja programowa z: SVC01 Laboratorium wykonujące badanie
Testy automatyczne i dokumentacja techniczna</t>
  </si>
  <si>
    <t xml:space="preserve">Umowa z partnerem, zakup lub personel: SVC01 Laboratorium wykonujące badanie
Akceptacja zakresu, testy z użytkownikami</t>
  </si>
  <si>
    <t xml:space="preserve">Marża po logistyce; własna analityka jako osobny wariant arkusza 40</t>
  </si>
  <si>
    <t xml:space="preserve">M15-MVP</t>
  </si>
  <si>
    <t xml:space="preserve">Zachować bazowe funkcjonalności; rozszerzenie: Zamówienie, pobranie i wynik</t>
  </si>
  <si>
    <t xml:space="preserve">Dodać: SVC03, SVC04, INT11. Wycofać/zastąpić: brak. Zachować kontrakt danych; test regresji i możliwość powrotu.</t>
  </si>
  <si>
    <t xml:space="preserve">INT11 Adapter LIS</t>
  </si>
  <si>
    <t xml:space="preserve">SVC01 Laboratorium wykonujące badanie
SVC03 Pobranie próbki
SVC04 Transport i odpady</t>
  </si>
  <si>
    <t xml:space="preserve">Kod: APP06 Rezerwacje
Adaptery i integracje: INT11 Adapter LIS
Integracja programowa z: SVC01 Laboratorium wykonujące badanie; SVC03 Pobranie próbki; SVC04 Transport i odpady
Testy automatyczne i dokumentacja techniczna</t>
  </si>
  <si>
    <t xml:space="preserve">Wybór dostawcy, konto, umowa powierzenia lub licencja: INT11 Adapter LIS
Umowa z partnerem, zakup lub personel: SVC01 Laboratorium wykonujące badanie; SVC03 Pobranie próbki; SVC04 Transport i odpady
Akceptacja zakresu, testy z użytkownikami</t>
  </si>
  <si>
    <t xml:space="preserve">M15-MLP</t>
  </si>
  <si>
    <t xml:space="preserve">Zachować bazowe funkcjonalności; rozszerzenie: Sieć partnerów lub własny punkt pobrań</t>
  </si>
  <si>
    <t xml:space="preserve">Dodać: APP30. Wycofać/zastąpić: brak. Zachować kontrakt danych; test regresji i możliwość powrotu.</t>
  </si>
  <si>
    <t xml:space="preserve">APP06 Rezerwacje
APP30 Operacje placówki</t>
  </si>
  <si>
    <t xml:space="preserve">Kod: APP06 Rezerwacje; APP30 Operacje placówki
Adaptery i integracje: INT11 Adapter LIS
Integracja programowa z: SVC01 Laboratorium wykonujące badanie; SVC03 Pobranie próbki; SVC04 Transport i odpady
Testy automatyczne i dokumentacja techniczna</t>
  </si>
  <si>
    <t xml:space="preserve">M15-FINAL</t>
  </si>
  <si>
    <t xml:space="preserve">AI04 Retriever RAG
APP12 Treści edukacyjne i audio
APP02 Raport i zestawienie</t>
  </si>
  <si>
    <t xml:space="preserve">IFU, populacja, kraj i umowa; Labplus nie zastępuje wykonania badania</t>
  </si>
  <si>
    <t xml:space="preserve">M16-MVP</t>
  </si>
  <si>
    <t xml:space="preserve">Zachować bazowe funkcjonalności; rozszerzenie: Interpretacja partnerska w dopuszczonym zakresie</t>
  </si>
  <si>
    <t xml:space="preserve">Dodać: SVC02, DAT08. Wycofać/zastąpić: brak. Zachować kontrakt danych; test regresji i możliwość powrotu.</t>
  </si>
  <si>
    <t xml:space="preserve">AI04 Retriever RAG
APP12 Treści edukacyjne i audio
APP02 Raport i zestawienie
DAT08 Pakiet udostępnienia</t>
  </si>
  <si>
    <t xml:space="preserve">SVC02 Labplus LabTest Checker</t>
  </si>
  <si>
    <t xml:space="preserve">Kod: AI04 Retriever RAG; APP12 Treści edukacyjne i audio; APP02 Raport i zestawienie; DAT08 Pakiet udostępnienia
Kod i dokumentacja techniczna dla: SVC02 Labplus LabTest Checker
Testy automatyczne i dokumentacja techniczna</t>
  </si>
  <si>
    <t xml:space="preserve">Walidacja kliniczna, QMS i dopuszczenie: SVC02 Labplus LabTest Checker
Akceptacja zakresu, testy z użytkownikami</t>
  </si>
  <si>
    <t xml:space="preserve">M16-MLP</t>
  </si>
  <si>
    <t xml:space="preserve">Zachować bazowe funkcjonalności; rozszerzenie: Interpretacja z lekarzem i ścieżką opieki</t>
  </si>
  <si>
    <t xml:space="preserve">Kod: AI04 Retriever RAG; APP12 Treści edukacyjne i audio; APP02 Raport i zestawienie; DAT08 Pakiet udostępnienia
Integracja programowa z: SVC05 Personel kliniczny
Kod i dokumentacja techniczna dla: SVC02 Labplus LabTest Checker
Testy automatyczne i dokumentacja techniczna</t>
  </si>
  <si>
    <t xml:space="preserve">Umowa z partnerem, zakup lub personel: SVC05 Personel kliniczny
Walidacja kliniczna, QMS i dopuszczenie: SVC02 Labplus LabTest Checker
Akceptacja zakresu, testy z użytkownikami</t>
  </si>
  <si>
    <t xml:space="preserve">M16-FINAL</t>
  </si>
  <si>
    <t xml:space="preserve">M17</t>
  </si>
  <si>
    <t xml:space="preserve">Rekord leków i przestrzeganie zaleceń</t>
  </si>
  <si>
    <t xml:space="preserve">Lista leków i przypomnienia</t>
  </si>
  <si>
    <t xml:space="preserve">APP19 Rejestr leków
APP09 Przypomnienia</t>
  </si>
  <si>
    <t xml:space="preserve">Zgodność ze źródłem; zmiana dawki to osobna funkcja kliniczna</t>
  </si>
  <si>
    <t xml:space="preserve">jest: lista leków i przypomnienia o lekach</t>
  </si>
  <si>
    <t xml:space="preserve">M17-MVP</t>
  </si>
  <si>
    <t xml:space="preserve">Zachować bazowe funkcjonalności; rozszerzenie: Adherencja i udostępnienie lekarzowi</t>
  </si>
  <si>
    <t xml:space="preserve">APP19 Rejestr leków
APP09 Przypomnienia
DAT08 Pakiet udostępnienia</t>
  </si>
  <si>
    <t xml:space="preserve">Kod: APP19 Rejestr leków; APP09 Przypomnienia; DAT08 Pakiet udostępnienia
Testy automatyczne i dokumentacja techniczna</t>
  </si>
  <si>
    <t xml:space="preserve">M17-MLP</t>
  </si>
  <si>
    <t xml:space="preserve">2029 H2</t>
  </si>
  <si>
    <t xml:space="preserve">Zachować bazowe funkcjonalności; rozszerzenie: Koordynacja farmakoterapii przez specjalistę</t>
  </si>
  <si>
    <t xml:space="preserve">Dodać: INT17, SVC05. Wycofać/zastąpić: brak. Zachować kontrakt danych; test regresji i możliwość powrotu.</t>
  </si>
  <si>
    <t xml:space="preserve">INT17 Dane aptek i leków</t>
  </si>
  <si>
    <t xml:space="preserve">Kod: APP19 Rejestr leków; APP09 Przypomnienia; DAT08 Pakiet udostępnienia
Adaptery i integracje: INT17 Dane aptek i leków
Integracja programowa z: SVC05 Personel kliniczny
Testy automatyczne i dokumentacja techniczna</t>
  </si>
  <si>
    <t xml:space="preserve">Wybór dostawcy, konto, umowa powierzenia lub licencja: INT17 Dane aptek i leków
Umowa z partnerem, zakup lub personel: SVC05 Personel kliniczny
Akceptacja zakresu, testy z użytkownikami</t>
  </si>
  <si>
    <t xml:space="preserve">M17-FINAL</t>
  </si>
  <si>
    <t xml:space="preserve">DAT05 Importer i parser dokumentów
APP19 Rejestr leków</t>
  </si>
  <si>
    <t xml:space="preserve">Uprawnienia i integracja osobno dla każdego kraju</t>
  </si>
  <si>
    <t xml:space="preserve">M18-MVP</t>
  </si>
  <si>
    <t xml:space="preserve">Zachować bazowe funkcjonalności; rozszerzenie: Krajowy przebieg pracy przez partnera</t>
  </si>
  <si>
    <t xml:space="preserve">Dodać: INT12, INT17, SVC05. Wycofać/zastąpić: brak. Zachować kontrakt danych; test regresji i możliwość powrotu.</t>
  </si>
  <si>
    <t xml:space="preserve">INT12 Adapter krajowego eHealth
INT17 Dane aptek i leków</t>
  </si>
  <si>
    <t xml:space="preserve">Kod: DAT05 Importer i parser dokumentów; APP19 Rejestr leków
Adaptery i integracje: INT12 Adapter krajowego eHealth; INT17 Dane aptek i leków
Integracja programowa z: SVC05 Personel kliniczny
Testy automatyczne i dokumentacja techniczna</t>
  </si>
  <si>
    <t xml:space="preserve">Wybór dostawcy, konto, umowa powierzenia lub licencja: INT12 Adapter krajowego eHealth; INT17 Dane aptek i leków
Umowa z partnerem, zakup lub personel: SVC05 Personel kliniczny
Akceptacja zakresu, testy z użytkownikami</t>
  </si>
  <si>
    <t xml:space="preserve">M18-MLP</t>
  </si>
  <si>
    <t xml:space="preserve">Zachować bazowe funkcjonalności; rozszerzenie: Wiele lokalnych adapterów</t>
  </si>
  <si>
    <t xml:space="preserve">Dodać: CTL03. Wycofać/zastąpić: brak. Zachować kontrakt danych; test regresji i możliwość powrotu.</t>
  </si>
  <si>
    <t xml:space="preserve">DAT05 Importer i parser dokumentów
APP19 Rejestr leków
CTL03 Ślad audytowy</t>
  </si>
  <si>
    <t xml:space="preserve">Kod: DAT05 Importer i parser dokumentów; APP19 Rejestr leków; CTL03 Ślad audytowy
Adaptery i integracje: INT12 Adapter krajowego eHealth; INT17 Dane aptek i leków
Integracja programowa z: SVC05 Personel kliniczny
Testy automatyczne i dokumentacja techniczna</t>
  </si>
  <si>
    <t xml:space="preserve">M18-FINAL</t>
  </si>
  <si>
    <t xml:space="preserve">APP12 Treści edukacyjne i audio
APP28 Ścieżka pomocy kryzysowej
APP04 Formularze i wywiad</t>
  </si>
  <si>
    <t xml:space="preserve">Aktualne ścieżki pomocy; dostęp kryzysowy bez paywalla</t>
  </si>
  <si>
    <t xml:space="preserve">M19-MVP</t>
  </si>
  <si>
    <t xml:space="preserve">Zachować bazowe funkcjonalności; rozszerzenie: Program dobrostanu i kontakt ze specjalistą</t>
  </si>
  <si>
    <t xml:space="preserve">Dodać: APP11, APP06. Wycofać/zastąpić: brak. Zachować kontrakt danych; test regresji i możliwość powrotu.</t>
  </si>
  <si>
    <t xml:space="preserve">APP12 Treści edukacyjne i audio
APP28 Ścieżka pomocy kryzysowej
APP04 Formularze i wywiad
APP11 Cele i plany
APP06 Rezerwacje</t>
  </si>
  <si>
    <t xml:space="preserve">Kod: APP12 Treści edukacyjne i audio; APP28 Ścieżka pomocy kryzysowej; APP04 Formularze i wywiad; APP11 Cele i plany; APP06 Rezerwacje
Testy automatyczne i dokumentacja techniczna</t>
  </si>
  <si>
    <t xml:space="preserve">M19-MLP</t>
  </si>
  <si>
    <t xml:space="preserve">Zachować bazowe funkcjonalności; rozszerzenie: Przekazanie do opieki</t>
  </si>
  <si>
    <t xml:space="preserve">Dodać: APP08, SVC05. Wycofać/zastąpić: brak. Zachować kontrakt danych; test regresji i możliwość powrotu.</t>
  </si>
  <si>
    <t xml:space="preserve">APP12 Treści edukacyjne i audio
APP28 Ścieżka pomocy kryzysowej
APP04 Formularze i wywiad
APP11 Cele i plany
APP06 Rezerwacje
APP08 Wiadomości</t>
  </si>
  <si>
    <t xml:space="preserve">Kod: APP12 Treści edukacyjne i audio; APP28 Ścieżka pomocy kryzysowej; APP04 Formularze i wywiad; APP11 Cele i plany; APP06 Rezerwacje; APP08 Wiadomości
Integracja programowa z: SVC05 Personel kliniczny
Testy automatyczne i dokumentacja techniczna</t>
  </si>
  <si>
    <t xml:space="preserve">M19-FINAL</t>
  </si>
  <si>
    <t xml:space="preserve">M20</t>
  </si>
  <si>
    <t xml:space="preserve">Specjalistyczne / regulowane zdrowie psychiczne</t>
  </si>
  <si>
    <t xml:space="preserve">Katalog specjalistów</t>
  </si>
  <si>
    <t xml:space="preserve">Kod: APP06 Rezerwacje
Integracja programowa z: SVC05 Personel kliniczny
Testy automatyczne i dokumentacja techniczna</t>
  </si>
  <si>
    <t xml:space="preserve">Skuteczność, kwalifikacja pacjenta i zgodność urządzenia ze wskazaniem</t>
  </si>
  <si>
    <t xml:space="preserve">M20-MVP</t>
  </si>
  <si>
    <t xml:space="preserve">Zachować bazowe funkcjonalności; rozszerzenie: Terapia realizowana przez partnera</t>
  </si>
  <si>
    <t xml:space="preserve">Dodać: SVC06, APP07, APP09. Wycofać/zastąpić: brak. Zachować kontrakt danych; test regresji i możliwość powrotu.</t>
  </si>
  <si>
    <t xml:space="preserve">APP06 Rezerwacje
APP09 Przypomnienia</t>
  </si>
  <si>
    <t xml:space="preserve">SVC05 Personel kliniczny
SVC06 Partner terapii</t>
  </si>
  <si>
    <t xml:space="preserve">Kod: APP06 Rezerwacje; APP09 Przypomnienia
Adaptery i integracje: APP07 Wideokonsultacja
Integracja programowa z: SVC05 Personel kliniczny; SVC06 Partner terapii
Testy automatyczne i dokumentacja techniczna</t>
  </si>
  <si>
    <t xml:space="preserve">Wybór dostawcy, konto, umowa powierzenia lub licencja: APP07 Wideokonsultacja
Umowa z partnerem, zakup lub personel: SVC05 Personel kliniczny; SVC06 Partner terapii
Akceptacja zakresu, testy z użytkownikami</t>
  </si>
  <si>
    <t xml:space="preserve">M20-MLP</t>
  </si>
  <si>
    <t xml:space="preserve">Zachować bazowe funkcjonalności; rozszerzenie: Dopuszczona terapia cyfrowa lub urządzeniowa</t>
  </si>
  <si>
    <t xml:space="preserve">Dodać: HW11. Wycofać/zastąpić: brak. Zachować kontrakt danych; test regresji i możliwość powrotu.</t>
  </si>
  <si>
    <t xml:space="preserve">SVC05 Personel kliniczny
SVC06 Partner terapii
HW11 EEG/EMG i interfejs neuro</t>
  </si>
  <si>
    <t xml:space="preserve">Kod: APP06 Rezerwacje; APP09 Przypomnienia
Adaptery i integracje: APP07 Wideokonsultacja
Integracja programowa z: SVC05 Personel kliniczny; SVC06 Partner terapii; HW11 EEG/EMG i interfejs neuro
Testy automatyczne i dokumentacja techniczna</t>
  </si>
  <si>
    <t xml:space="preserve">Wybór dostawcy, konto, umowa powierzenia lub licencja: APP07 Wideokonsultacja
Umowa z partnerem, zakup lub personel: SVC05 Personel kliniczny; SVC06 Partner terapii; HW11 EEG/EMG i interfejs neuro
Akceptacja zakresu, testy z użytkownikami</t>
  </si>
  <si>
    <t xml:space="preserve">M20-FINAL</t>
  </si>
  <si>
    <t xml:space="preserve">APP23 Dane genetyczne
DAT05 Importer i parser dokumentów
DAT03 Pochodzenie danych i wersjonowanie</t>
  </si>
  <si>
    <t xml:space="preserve">Zgoda i prawa do danych; bez własnego laboratorium na start</t>
  </si>
  <si>
    <t xml:space="preserve">M21-MVP</t>
  </si>
  <si>
    <t xml:space="preserve">Zachować bazowe funkcjonalności; rozszerzenie: Test partnera i wynik w profilu</t>
  </si>
  <si>
    <t xml:space="preserve">Dodać: APP06, SVC01. Wycofać/zastąpić: brak. Zachować kontrakt danych; test regresji i możliwość powrotu.</t>
  </si>
  <si>
    <t xml:space="preserve">APP23 Dane genetyczne
DAT05 Importer i parser dokumentów
DAT03 Pochodzenie danych i wersjonowanie
APP06 Rezerwacje</t>
  </si>
  <si>
    <t xml:space="preserve">Kod: APP23 Dane genetyczne; DAT05 Importer i parser dokumentów; DAT03 Pochodzenie danych i wersjonowanie; APP06 Rezerwacje
Integracja programowa z: SVC01 Laboratorium wykonujące badanie
Testy automatyczne i dokumentacja techniczna</t>
  </si>
  <si>
    <t xml:space="preserve">M21-MLP</t>
  </si>
  <si>
    <t xml:space="preserve">Zachować bazowe funkcjonalności; rozszerzenie: Kontrolowane udostępnienie i konsultacja</t>
  </si>
  <si>
    <t xml:space="preserve">Dodać: DAT08, SVC05. Wycofać/zastąpić: brak. Zachować kontrakt danych; test regresji i możliwość powrotu.</t>
  </si>
  <si>
    <t xml:space="preserve">APP23 Dane genetyczne
DAT05 Importer i parser dokumentów
DAT03 Pochodzenie danych i wersjonowanie
APP06 Rezerwacje
DAT08 Pakiet udostępnienia</t>
  </si>
  <si>
    <t xml:space="preserve">SVC01 Laboratorium wykonujące badanie
SVC05 Personel kliniczny</t>
  </si>
  <si>
    <t xml:space="preserve">Kod: APP23 Dane genetyczne; DAT05 Importer i parser dokumentów; DAT03 Pochodzenie danych i wersjonowanie; APP06 Rezerwacje; DAT08 Pakiet udostępnienia
Integracja programowa z: SVC01 Laboratorium wykonujące badanie; SVC05 Personel kliniczny
Testy automatyczne i dokumentacja techniczna</t>
  </si>
  <si>
    <t xml:space="preserve">Umowa z partnerem, zakup lub personel: SVC01 Laboratorium wykonujące badanie; SVC05 Personel kliniczny
Akceptacja zakresu, testy z użytkownikami</t>
  </si>
  <si>
    <t xml:space="preserve">M21-FINAL</t>
  </si>
  <si>
    <t xml:space="preserve">APP12 Treści edukacyjne i audio
APP23 Dane genetyczne</t>
  </si>
  <si>
    <t xml:space="preserve">Dowód dla konkretnego wskazania; wellness nie jest farmakogenomiką</t>
  </si>
  <si>
    <t xml:space="preserve">M22-MVP</t>
  </si>
  <si>
    <t xml:space="preserve">Zachować bazowe funkcjonalności; rozszerzenie: Interpretacja przez specjalistę</t>
  </si>
  <si>
    <t xml:space="preserve">Kod: APP12 Treści edukacyjne i audio; APP23 Dane genetyczne
Integracja programowa z: SVC05 Personel kliniczny
Testy automatyczne i dokumentacja techniczna</t>
  </si>
  <si>
    <t xml:space="preserve">M22-MLP</t>
  </si>
  <si>
    <t xml:space="preserve">Zachować bazowe funkcjonalności; rozszerzenie: Walidowane wsparcie PGx</t>
  </si>
  <si>
    <t xml:space="preserve">Kod: APP12 Treści edukacyjne i audio; APP23 Dane genetyczne
Integracja programowa z: SVC05 Personel kliniczny
Kod i dokumentacja techniczna dla: AI07 Model wskazania klinicznego
Testy automatyczne i dokumentacja techniczna</t>
  </si>
  <si>
    <t xml:space="preserve">M22-FINAL</t>
  </si>
  <si>
    <t xml:space="preserve">M23</t>
  </si>
  <si>
    <t xml:space="preserve">Skrzynka kliniki i kompletność materiałów</t>
  </si>
  <si>
    <t xml:space="preserve">Skrzynka i lista braków</t>
  </si>
  <si>
    <t xml:space="preserve">APP03 Skrzynka i kolejka pracy
DAT05 Importer i parser dokumentów</t>
  </si>
  <si>
    <t xml:space="preserve">Kod: APP03 Skrzynka i kolejka pracy; DAT05 Importer i parser dokumentów
Testy automatyczne i dokumentacja techniczna</t>
  </si>
  <si>
    <t xml:space="preserve">Kompletność i oszczędność czasu personelu</t>
  </si>
  <si>
    <t xml:space="preserve">jest: skrzynka materiałów z kompletnością, zaproszenia SMS/QR</t>
  </si>
  <si>
    <t xml:space="preserve">M23-MVP</t>
  </si>
  <si>
    <t xml:space="preserve">Zachować bazowe funkcjonalności; rozszerzenie: OCR i zadania przed wizytą</t>
  </si>
  <si>
    <t xml:space="preserve">Dodać: AI01, APP09. Wycofać/zastąpić: brak. Zachować kontrakt danych; test regresji i możliwość powrotu.</t>
  </si>
  <si>
    <t xml:space="preserve">APP03 Skrzynka i kolejka pracy
DAT05 Importer i parser dokumentów
APP09 Przypomnienia</t>
  </si>
  <si>
    <t xml:space="preserve">Kod: APP03 Skrzynka i kolejka pracy; DAT05 Importer i parser dokumentów; APP09 Przypomnienia
Adaptery i integracje: AI01 OCR
Testy automatyczne i dokumentacja techniczna</t>
  </si>
  <si>
    <t xml:space="preserve">M23-MLP</t>
  </si>
  <si>
    <t xml:space="preserve">Zachować bazowe funkcjonalności; rozszerzenie: Współpraca placówek</t>
  </si>
  <si>
    <t xml:space="preserve">Dodać: DAT08, CTL04. Wycofać/zastąpić: brak. Zachować kontrakt danych; test regresji i możliwość powrotu.</t>
  </si>
  <si>
    <t xml:space="preserve">APP03 Skrzynka i kolejka pracy
DAT05 Importer i parser dokumentów
APP09 Przypomnienia
DAT08 Pakiet udostępnienia
CTL04 Izolacja organizacji</t>
  </si>
  <si>
    <t xml:space="preserve">Kod: APP03 Skrzynka i kolejka pracy; DAT05 Importer i parser dokumentów; APP09 Przypomnienia; DAT08 Pakiet udostępnienia; CTL04 Izolacja organizacji
Adaptery i integracje: AI01 OCR
Testy automatyczne i dokumentacja techniczna</t>
  </si>
  <si>
    <t xml:space="preserve">M23-FINAL</t>
  </si>
  <si>
    <t xml:space="preserve">M24</t>
  </si>
  <si>
    <t xml:space="preserve">Medical Snapshot / raport faktograficzny</t>
  </si>
  <si>
    <t xml:space="preserve">Fakty przed wizytą ze źródłami</t>
  </si>
  <si>
    <t xml:space="preserve">APP02 Raport i zestawienie
DAT03 Pochodzenie danych i wersjonowanie</t>
  </si>
  <si>
    <t xml:space="preserve">Kod: APP02 Raport i zestawienie; DAT03 Pochodzenie danych i wersjonowanie
Testy automatyczne i dokumentacja techniczna</t>
  </si>
  <si>
    <t xml:space="preserve">Sprawdzalność faktu i akceptacja klinicysty</t>
  </si>
  <si>
    <t xml:space="preserve">jest: raport faktów ze źródłami, PDF</t>
  </si>
  <si>
    <t xml:space="preserve">M24-MVP</t>
  </si>
  <si>
    <t xml:space="preserve">Zachować bazowe funkcjonalności; rozszerzenie: Szablony specjalności i korekta</t>
  </si>
  <si>
    <t xml:space="preserve">Dodać: AI03, CTL14. Wycofać/zastąpić: brak. Zachować kontrakt danych; test regresji i możliwość powrotu.</t>
  </si>
  <si>
    <t xml:space="preserve">APP02 Raport i zestawienie
DAT03 Pochodzenie danych i wersjonowanie
CTL14 Zaufanie do źródła</t>
  </si>
  <si>
    <t xml:space="preserve">AI03 Model językowy</t>
  </si>
  <si>
    <t xml:space="preserve">Kod: APP02 Raport i zestawienie; DAT03 Pochodzenie danych i wersjonowanie; CTL14 Zaufanie do źródła
Adaptery i integracje: AI03 Model językowy
Testy automatyczne i dokumentacja techniczna</t>
  </si>
  <si>
    <t xml:space="preserve">M24-MLP</t>
  </si>
  <si>
    <t xml:space="preserve">Zachować bazowe funkcjonalności; rozszerzenie: Zestawienie w wielu systemach szpitalnych</t>
  </si>
  <si>
    <t xml:space="preserve">Dodać: INT18, DAT08. Wycofać/zastąpić: brak. Zachować kontrakt danych; test regresji i możliwość powrotu.</t>
  </si>
  <si>
    <t xml:space="preserve">APP02 Raport i zestawienie
DAT03 Pochodzenie danych i wersjonowanie
CTL14 Zaufanie do źródła
DAT08 Pakiet udostępnienia</t>
  </si>
  <si>
    <t xml:space="preserve">AI03 Model językowy
INT18 Adapter EHR/HIS</t>
  </si>
  <si>
    <t xml:space="preserve">Kod: APP02 Raport i zestawienie; DAT03 Pochodzenie danych i wersjonowanie; CTL14 Zaufanie do źródła; DAT08 Pakiet udostępnienia
Adaptery i integracje: AI03 Model językowy; INT18 Adapter EHR/HIS
Testy automatyczne i dokumentacja techniczna</t>
  </si>
  <si>
    <t xml:space="preserve">Wybór dostawcy, konto, umowa powierzenia lub licencja: AI03 Model językowy; INT18 Adapter EHR/HIS
Akceptacja zakresu, testy z użytkownikami</t>
  </si>
  <si>
    <t xml:space="preserve">M24-FINAL</t>
  </si>
  <si>
    <t xml:space="preserve">M25</t>
  </si>
  <si>
    <t xml:space="preserve">Zgoda i kontrolowane przekazanie</t>
  </si>
  <si>
    <t xml:space="preserve">Czasowe udostępnienie</t>
  </si>
  <si>
    <t xml:space="preserve">DAT08 Pakiet udostępnienia
CTL01 Rejestr zgód
CTL02 Silnik uprawnień</t>
  </si>
  <si>
    <t xml:space="preserve">Kod: DAT08 Pakiet udostępnienia; CTL01 Rejestr zgód; CTL02 Silnik uprawnień
Testy automatyczne i dokumentacja techniczna</t>
  </si>
  <si>
    <t xml:space="preserve">Test zakresu, wygaśnięcia i eksportu</t>
  </si>
  <si>
    <t xml:space="preserve">jest: zgoda na cel i czas, udostępnienia, „kto oglądał”, cofnięcie</t>
  </si>
  <si>
    <t xml:space="preserve">M25-MVP</t>
  </si>
  <si>
    <t xml:space="preserve">Zachować bazowe funkcjonalności; rozszerzenie: Audyt i odwołanie dostępu</t>
  </si>
  <si>
    <t xml:space="preserve">Dodać: CTL03, CTL15. Wycofać/zastąpić: brak. Zachować kontrakt danych; test regresji i możliwość powrotu.</t>
  </si>
  <si>
    <t xml:space="preserve">DAT08 Pakiet udostępnienia
CTL01 Rejestr zgód
CTL02 Silnik uprawnień
CTL03 Ślad audytowy
CTL15 Retencja i eksport</t>
  </si>
  <si>
    <t xml:space="preserve">Kod: DAT08 Pakiet udostępnienia; CTL01 Rejestr zgód; CTL02 Silnik uprawnień; CTL03 Ślad audytowy; CTL15 Retencja i eksport
Testy automatyczne i dokumentacja techniczna</t>
  </si>
  <si>
    <t xml:space="preserve">M25-MLP</t>
  </si>
  <si>
    <t xml:space="preserve">Zachować bazowe funkcjonalności; rozszerzenie: Przekazanie między organizacjami</t>
  </si>
  <si>
    <t xml:space="preserve">Dodać: CTL04, CTL11. Wycofać/zastąpić: brak. Zachować kontrakt danych; test regresji i możliwość powrotu.</t>
  </si>
  <si>
    <t xml:space="preserve">DAT08 Pakiet udostępnienia
CTL01 Rejestr zgód
CTL02 Silnik uprawnień
CTL03 Ślad audytowy
CTL15 Retencja i eksport
CTL04 Izolacja organizacji</t>
  </si>
  <si>
    <t xml:space="preserve">CTL11 Brama przeznaczenia i kraju</t>
  </si>
  <si>
    <t xml:space="preserve">Kod: DAT08 Pakiet udostępnienia; CTL01 Rejestr zgód; CTL02 Silnik uprawnień; CTL03 Ślad audytowy; CTL15 Retencja i eksport; CTL04 Izolacja organizacji
Narzędzia i szablony dokumentów dla: CTL11 Brama przeznaczenia i kraju
Testy automatyczne i dokumentacja techniczna</t>
  </si>
  <si>
    <t xml:space="preserve">M25-FINAL</t>
  </si>
  <si>
    <t xml:space="preserve">M26</t>
  </si>
  <si>
    <t xml:space="preserve">Scribe i dokumentacja</t>
  </si>
  <si>
    <t xml:space="preserve">Transkrypcja i szkic do zatwierdzenia</t>
  </si>
  <si>
    <t xml:space="preserve">APP05 Przebieg Scribe</t>
  </si>
  <si>
    <t xml:space="preserve">AI02 Transkrypcja STT</t>
  </si>
  <si>
    <t xml:space="preserve">Kod: APP05 Przebieg Scribe
Adaptery i integracje: AI02 Transkrypcja STT
Testy automatyczne i dokumentacja techniczna</t>
  </si>
  <si>
    <t xml:space="preserve">Wybór dostawcy, konto, umowa powierzenia lub licencja: AI02 Transkrypcja STT
Akceptacja zakresu, testy z użytkownikami</t>
  </si>
  <si>
    <t xml:space="preserve">Zgoda, błąd kliniczny, czas korekty; bez automatycznego podpisu</t>
  </si>
  <si>
    <t xml:space="preserve">jest w trybie demo: nagranie, szkic ze źródłami, zatwierdzenie, karta „Po wizycie”; bez kont u dostawców mowy i modelu</t>
  </si>
  <si>
    <t xml:space="preserve">M26-MVP</t>
  </si>
  <si>
    <t xml:space="preserve">Zachować bazowe funkcjonalności; rozszerzenie: Strukturalna notatka i HIS</t>
  </si>
  <si>
    <t xml:space="preserve">Dodać: AI03, INT18. Wycofać/zastąpić: brak. Zachować kontrakt danych; test regresji i możliwość powrotu.</t>
  </si>
  <si>
    <t xml:space="preserve">AI02 Transkrypcja STT
AI03 Model językowy
INT18 Adapter EHR/HIS</t>
  </si>
  <si>
    <t xml:space="preserve">Kod: APP05 Przebieg Scribe
Adaptery i integracje: AI02 Transkrypcja STT; AI03 Model językowy; INT18 Adapter EHR/HIS
Testy automatyczne i dokumentacja techniczna</t>
  </si>
  <si>
    <t xml:space="preserve">Wybór dostawcy, konto, umowa powierzenia lub licencja: AI02 Transkrypcja STT; AI03 Model językowy; INT18 Adapter EHR/HIS
Akceptacja zakresu, testy z użytkownikami</t>
  </si>
  <si>
    <t xml:space="preserve">M26-MLP</t>
  </si>
  <si>
    <t xml:space="preserve">Zachować bazowe funkcjonalności; rozszerzenie: Wiele specjalności i wybór silnika</t>
  </si>
  <si>
    <t xml:space="preserve">Dodać: CTL06. Wycofać/zastąpić: brak. Zachować kontrakt danych; test regresji i możliwość powrotu.</t>
  </si>
  <si>
    <t xml:space="preserve">APP05 Przebieg Scribe
CTL06 Router dostawców</t>
  </si>
  <si>
    <t xml:space="preserve">Kod: APP05 Przebieg Scribe; CTL06 Router dostawców
Adaptery i integracje: AI02 Transkrypcja STT; AI03 Model językowy; INT18 Adapter EHR/HIS
Testy automatyczne i dokumentacja techniczna</t>
  </si>
  <si>
    <t xml:space="preserve">M26-FINAL</t>
  </si>
  <si>
    <t xml:space="preserve">APP04 Formularze i wywiad</t>
  </si>
  <si>
    <t xml:space="preserve">Kompletność; kliniczny triaż pozostaje w M31</t>
  </si>
  <si>
    <t xml:space="preserve">M27-MVP</t>
  </si>
  <si>
    <t xml:space="preserve">Zachować bazowe funkcjonalności; rozszerzenie: Rozmowa zbierająca dane</t>
  </si>
  <si>
    <t xml:space="preserve">Dodać: AI03, CTL18. Wycofać/zastąpić: brak. Zachować kontrakt danych; test regresji i możliwość powrotu.</t>
  </si>
  <si>
    <t xml:space="preserve">APP04 Formularze i wywiad
CTL18 Reguły i orkiestracja</t>
  </si>
  <si>
    <t xml:space="preserve">Kod: APP04 Formularze i wywiad; CTL18 Reguły i orkiestracja
Adaptery i integracje: AI03 Model językowy
Testy automatyczne i dokumentacja techniczna</t>
  </si>
  <si>
    <t xml:space="preserve">M27-MLP</t>
  </si>
  <si>
    <t xml:space="preserve">Zachować bazowe funkcjonalności; rozszerzenie: Wywiad specjalistyczny i dokumentacja</t>
  </si>
  <si>
    <t xml:space="preserve">APP04 Formularze i wywiad
CTL18 Reguły i orkiestracja
DAT08 Pakiet udostępnienia</t>
  </si>
  <si>
    <t xml:space="preserve">Kod: APP04 Formularze i wywiad; CTL18 Reguły i orkiestracja; DAT08 Pakiet udostępnienia
Adaptery i integracje: AI03 Model językowy; INT18 Adapter EHR/HIS
Testy automatyczne i dokumentacja techniczna</t>
  </si>
  <si>
    <t xml:space="preserve">M27-FINAL</t>
  </si>
  <si>
    <t xml:space="preserve">DAT05 Importer i parser dokumentów
DAT02 Mapper interoperacyjności</t>
  </si>
  <si>
    <t xml:space="preserve">Umowa, semantyka i test mapowania; FHIR nie wystarcza sam</t>
  </si>
  <si>
    <t xml:space="preserve">M28-MVP</t>
  </si>
  <si>
    <t xml:space="preserve">Zachować bazowe funkcjonalności; rozszerzenie: Jeden adapter HIS/FHIR</t>
  </si>
  <si>
    <t xml:space="preserve">Dodać: INT18. Wycofać/zastąpić: brak. Zachować kontrakt danych; test regresji i możliwość powrotu.</t>
  </si>
  <si>
    <t xml:space="preserve">INT18 Adapter EHR/HIS</t>
  </si>
  <si>
    <t xml:space="preserve">Kod: DAT05 Importer i parser dokumentów; DAT02 Mapper interoperacyjności
Adaptery i integracje: INT18 Adapter EHR/HIS
Testy automatyczne i dokumentacja techniczna</t>
  </si>
  <si>
    <t xml:space="preserve">Wybór dostawcy, konto, umowa powierzenia lub licencja: INT18 Adapter EHR/HIS
Akceptacja zakresu, testy z użytkownikami</t>
  </si>
  <si>
    <t xml:space="preserve">M28-MLP</t>
  </si>
  <si>
    <t xml:space="preserve">Zachować bazowe funkcjonalności; rozszerzenie: Katalog adapterów HIS i kraju</t>
  </si>
  <si>
    <t xml:space="preserve">Dodać: INT12, CTL07. Wycofać/zastąpić: brak. Zachować kontrakt danych; test regresji i możliwość powrotu.</t>
  </si>
  <si>
    <t xml:space="preserve">DAT05 Importer i parser dokumentów
DAT02 Mapper interoperacyjności
CTL07 Fabryka adapterów</t>
  </si>
  <si>
    <t xml:space="preserve">INT18 Adapter EHR/HIS
INT12 Adapter krajowego eHealth</t>
  </si>
  <si>
    <t xml:space="preserve">Kod: DAT05 Importer i parser dokumentów; DAT02 Mapper interoperacyjności; CTL07 Fabryka adapterów
Adaptery i integracje: INT18 Adapter EHR/HIS; INT12 Adapter krajowego eHealth
Testy automatyczne i dokumentacja techniczna</t>
  </si>
  <si>
    <t xml:space="preserve">Wybór dostawcy, konto, umowa powierzenia lub licencja: INT18 Adapter EHR/HIS; INT12 Adapter krajowego eHealth
Akceptacja zakresu, testy z użytkownikami</t>
  </si>
  <si>
    <t xml:space="preserve">M28-FINAL</t>
  </si>
  <si>
    <t xml:space="preserve">M29</t>
  </si>
  <si>
    <t xml:space="preserve">Telemedycyna i kontynuacja opieki</t>
  </si>
  <si>
    <t xml:space="preserve">Kontynuacja opieki według zaleceń lekarza</t>
  </si>
  <si>
    <t xml:space="preserve">APP08 Wiadomości
APP09 Przypomnienia</t>
  </si>
  <si>
    <t xml:space="preserve">Kod: APP08 Wiadomości; APP09 Przypomnienia
Testy automatyczne i dokumentacja techniczna</t>
  </si>
  <si>
    <t xml:space="preserve">Czas odpowiedzi i jawny zakres godzin opieki</t>
  </si>
  <si>
    <t xml:space="preserve">jest: wiadomości, przypomnienia, wizyta wideo</t>
  </si>
  <si>
    <t xml:space="preserve">M29-MVP</t>
  </si>
  <si>
    <t xml:space="preserve">Zachować bazowe funkcjonalności; rozszerzenie: Video i komunikacja po wizycie</t>
  </si>
  <si>
    <t xml:space="preserve">Dodać: APP07. Wycofać/zastąpić: brak. Zachować kontrakt danych; test regresji i możliwość powrotu.</t>
  </si>
  <si>
    <t xml:space="preserve">Kod: APP08 Wiadomości; APP09 Przypomnienia
Adaptery i integracje: APP07 Wideokonsultacja
Testy automatyczne i dokumentacja techniczna</t>
  </si>
  <si>
    <t xml:space="preserve">Wybór dostawcy, konto, umowa powierzenia lub licencja: APP07 Wideokonsultacja
Akceptacja zakresu, testy z użytkownikami</t>
  </si>
  <si>
    <t xml:space="preserve">M29-MLP</t>
  </si>
  <si>
    <t xml:space="preserve">Zachować bazowe funkcjonalności; rozszerzenie: RPM i eskalacja do zespołu</t>
  </si>
  <si>
    <t xml:space="preserve">Dodać: CTL18, SVC05. Wycofać/zastąpić: brak. Zachować kontrakt danych; test regresji i możliwość powrotu.</t>
  </si>
  <si>
    <t xml:space="preserve">APP08 Wiadomości
APP09 Przypomnienia
CTL18 Reguły i orkiestracja</t>
  </si>
  <si>
    <t xml:space="preserve">Kod: APP08 Wiadomości; APP09 Przypomnienia; CTL18 Reguły i orkiestracja
Adaptery i integracje: APP07 Wideokonsultacja
Integracja programowa z: SVC05 Personel kliniczny
Testy automatyczne i dokumentacja techniczna</t>
  </si>
  <si>
    <t xml:space="preserve">M29-FINAL</t>
  </si>
  <si>
    <t xml:space="preserve">CTL04 Izolacja organizacji
CTL02 Silnik uprawnień
APP29 Pakiety i subskrypcje</t>
  </si>
  <si>
    <t xml:space="preserve">Izolacja organizacji i test konfiguracji</t>
  </si>
  <si>
    <t xml:space="preserve">M30-MVP</t>
  </si>
  <si>
    <t xml:space="preserve">Zachować bazowe funkcjonalności; rozszerzenie: Szablony, marka i pakiety</t>
  </si>
  <si>
    <t xml:space="preserve">Dodać: CTL08, CTL09. Wycofać/zastąpić: brak. Zachować kontrakt danych; test regresji i możliwość powrotu.</t>
  </si>
  <si>
    <t xml:space="preserve">CTL04 Izolacja organizacji
CTL02 Silnik uprawnień
APP29 Pakiety i subskrypcje
CTL08 Kompozytor produktów
CTL09 Uprawnienia płatne i pomiar użycia</t>
  </si>
  <si>
    <t xml:space="preserve">Kod: CTL04 Izolacja organizacji; CTL02 Silnik uprawnień; APP29 Pakiety i subskrypcje; CTL08 Kompozytor produktów; CTL09 Uprawnienia płatne i pomiar użycia
Testy automatyczne i dokumentacja techniczna</t>
  </si>
  <si>
    <t xml:space="preserve">M30-MLP</t>
  </si>
  <si>
    <t xml:space="preserve">Zachować bazowe funkcjonalności; rozszerzenie: Wiele krajów bez forków kodu</t>
  </si>
  <si>
    <t xml:space="preserve">Dodać: CTL11. Wycofać/zastąpić: brak. Zachować kontrakt danych; test regresji i możliwość powrotu.</t>
  </si>
  <si>
    <t xml:space="preserve">Kod: CTL04 Izolacja organizacji; CTL02 Silnik uprawnień; APP29 Pakiety i subskrypcje; CTL08 Kompozytor produktów; CTL09 Uprawnienia płatne i pomiar użycia
Narzędzia i szablony dokumentów dla: CTL11 Brama przeznaczenia i kraju
Testy automatyczne i dokumentacja techniczna</t>
  </si>
  <si>
    <t xml:space="preserve">M30-FINAL</t>
  </si>
  <si>
    <t xml:space="preserve">AI04 Retriever RAG
AI13 Weryfikator cytowań i odpowiedzi
APP12 Treści edukacyjne i audio</t>
  </si>
  <si>
    <t xml:space="preserve">Nowe przeznaczenie wymaga oceny; autonomiczny lekarz to odrębny cel R&amp;D</t>
  </si>
  <si>
    <t xml:space="preserve">M31-MVP</t>
  </si>
  <si>
    <t xml:space="preserve">Zachować bazowe funkcjonalności; rozszerzenie: Rekomendacje w zawężonym wskazaniu z nadzorem</t>
  </si>
  <si>
    <t xml:space="preserve">Dodać: AI07, SVC05, CTL13. Wycofać/zastąpić: brak. Zachować kontrakt danych; test regresji i możliwość powrotu.</t>
  </si>
  <si>
    <t xml:space="preserve">AI04 Retriever RAG
AI13 Weryfikator cytowań i odpowiedzi
APP12 Treści edukacyjne i audio
CTL13 Rejestr modeli i ewaluacja</t>
  </si>
  <si>
    <t xml:space="preserve">Kod: AI04 Retriever RAG; AI13 Weryfikator cytowań i odpowiedzi; APP12 Treści edukacyjne i audio; CTL13 Rejestr modeli i ewaluacja
Adaptery i integracje: AI03 Model językowy
Integracja programowa z: SVC05 Personel kliniczny
Kod i dokumentacja techniczna dla: AI07 Model wskazania klinicznego
Testy automatyczne i dokumentacja techniczna</t>
  </si>
  <si>
    <t xml:space="preserve">Wybór dostawcy, konto, umowa powierzenia lub licencja: AI03 Model językowy
Umowa z partnerem, zakup lub personel: SVC05 Personel kliniczny
Walidacja kliniczna, QMS i dopuszczenie: AI07 Model wskazania klinicznego
Akceptacja zakresu, testy z użytkownikami</t>
  </si>
  <si>
    <t xml:space="preserve">M31-MLP</t>
  </si>
  <si>
    <t xml:space="preserve">Zachować bazowe funkcjonalności; rozszerzenie: Lekarz wspierany AI / dopuszczony CDSS</t>
  </si>
  <si>
    <t xml:space="preserve">Dodać: CTL12. Wycofać/zastąpić: brak. Zachować kontrakt danych; test regresji i możliwość powrotu.</t>
  </si>
  <si>
    <t xml:space="preserve">AI03 Model językowy
CTL12 Jakość i dokumentacja wydania</t>
  </si>
  <si>
    <t xml:space="preserve">Kod: AI04 Retriever RAG; AI13 Weryfikator cytowań i odpowiedzi; APP12 Treści edukacyjne i audio; CTL13 Rejestr modeli i ewaluacja
Adaptery i integracje: AI03 Model językowy
Integracja programowa z: SVC05 Personel kliniczny
Kod i dokumentacja techniczna dla: AI07 Model wskazania klinicznego
Narzędzia i szablony dokumentów dla: CTL12 Jakość i dokumentacja wydania
Testy automatyczne i dokumentacja techniczna</t>
  </si>
  <si>
    <t xml:space="preserve">Wybór dostawcy, konto, umowa powierzenia lub licencja: AI03 Model językowy
Umowa z partnerem, zakup lub personel: SVC05 Personel kliniczny
Walidacja kliniczna, QMS i dopuszczenie: AI07 Model wskazania klinicznego
Prowadzenie procesu: CTL12 Jakość i dokumentacja wydania
Akceptacja zakresu, testy z użytkownikami</t>
  </si>
  <si>
    <t xml:space="preserve">M31-FINAL</t>
  </si>
  <si>
    <t xml:space="preserve">APP24 Zwierzęta
DAT05 Importer i parser dokumentów</t>
  </si>
  <si>
    <t xml:space="preserve">Właściwy wykonawca weterynaryjny i odseparowanie właściciela</t>
  </si>
  <si>
    <t xml:space="preserve">M58-MVP</t>
  </si>
  <si>
    <t xml:space="preserve">Zachować bazowe funkcjonalności; rozszerzenie: Przypomnienia i lecznica</t>
  </si>
  <si>
    <t xml:space="preserve">Dodać: APP09, DAT08. Wycofać/zastąpić: brak. Zachować kontrakt danych; test regresji i możliwość powrotu.</t>
  </si>
  <si>
    <t xml:space="preserve">APP24 Zwierzęta
DAT05 Importer i parser dokumentów
APP09 Przypomnienia
DAT08 Pakiet udostępnienia</t>
  </si>
  <si>
    <t xml:space="preserve">Kod: APP24 Zwierzęta; DAT05 Importer i parser dokumentów; APP09 Przypomnienia; DAT08 Pakiet udostępnienia
Testy automatyczne i dokumentacja techniczna</t>
  </si>
  <si>
    <t xml:space="preserve">M58-MLP</t>
  </si>
  <si>
    <t xml:space="preserve">Zachować bazowe funkcjonalności; rozszerzenie: Profil dla weterynarza i partnerów</t>
  </si>
  <si>
    <t xml:space="preserve">Dodać: DAT07, SVC05. Wycofać/zastąpić: brak. Zachować kontrakt danych; test regresji i możliwość powrotu.</t>
  </si>
  <si>
    <t xml:space="preserve">APP24 Zwierzęta
DAT05 Importer i parser dokumentów
APP09 Przypomnienia
DAT08 Pakiet udostępnienia
DAT07 Widok podłużny</t>
  </si>
  <si>
    <t xml:space="preserve">Kod: APP24 Zwierzęta; DAT05 Importer i parser dokumentów; APP09 Przypomnienia; DAT08 Pakiet udostępnienia; DAT07 Widok podłużny
Integracja programowa z: SVC05 Personel kliniczny
Testy automatyczne i dokumentacja techniczna</t>
  </si>
  <si>
    <t xml:space="preserve">M58-FINAL</t>
  </si>
  <si>
    <t xml:space="preserve">APP24 Zwierzęta
APP06 Rezerwacje</t>
  </si>
  <si>
    <t xml:space="preserve">INT04 Adapter bezpośredni OEM</t>
  </si>
  <si>
    <t xml:space="preserve">Sprzęt odpowiedni dla gatunku i zakres usług weterynaryjnych</t>
  </si>
  <si>
    <t xml:space="preserve">M59-MVP</t>
  </si>
  <si>
    <t xml:space="preserve">Zachować bazowe funkcjonalności; rozszerzenie: Teleweterynaria i opieka</t>
  </si>
  <si>
    <t xml:space="preserve">Dodać: APP07, SVC05. Wycofać/zastąpić: brak. Zachować kontrakt danych; test regresji i możliwość powrotu.</t>
  </si>
  <si>
    <t xml:space="preserve">INT04 Adapter bezpośredni OEM
APP07 Wideokonsultacja</t>
  </si>
  <si>
    <t xml:space="preserve">Kod: APP24 Zwierzęta; APP06 Rezerwacje
Adaptery i integracje: INT04 Adapter bezpośredni OEM; APP07 Wideokonsultacja
Integracja programowa z: SVC05 Personel kliniczny
Testy automatyczne i dokumentacja techniczna</t>
  </si>
  <si>
    <t xml:space="preserve">Wybór dostawcy, konto, umowa powierzenia lub licencja: INT04 Adapter bezpośredni OEM; APP07 Wideokonsultacja
Umowa z partnerem, zakup lub personel: SVC05 Personel kliniczny
Akceptacja zakresu, testy z użytkownikami</t>
  </si>
  <si>
    <t xml:space="preserve">M59-MLP</t>
  </si>
  <si>
    <t xml:space="preserve">Zachować bazowe funkcjonalności; rozszerzenie: Station dla zwierząt lub monitoring OEM</t>
  </si>
  <si>
    <t xml:space="preserve">Dodać: HW04, HW01. Wycofać/zastąpić: brak. Zachować kontrakt danych; test regresji i możliwość powrotu.</t>
  </si>
  <si>
    <t xml:space="preserve">SVC05 Personel kliniczny
HW04 Gateway domowy
HW01 Zatwierdzone urządzenie pomiarowe</t>
  </si>
  <si>
    <t xml:space="preserve">Kod: APP24 Zwierzęta; APP06 Rezerwacje
Adaptery i integracje: INT04 Adapter bezpośredni OEM; APP07 Wideokonsultacja
Integracja programowa z: SVC05 Personel kliniczny; HW04 Gateway domowy; HW01 Zatwierdzone urządzenie pomiarowe
Testy automatyczne i dokumentacja techniczna</t>
  </si>
  <si>
    <t xml:space="preserve">Wybór dostawcy, konto, umowa powierzenia lub licencja: INT04 Adapter bezpośredni OEM; APP07 Wideokonsultacja
Umowa z partnerem, zakup lub personel: SVC05 Personel kliniczny; HW04 Gateway domowy; HW01 Zatwierdzone urządzenie pomiarowe
Akceptacja zakresu, testy z użytkownikami</t>
  </si>
  <si>
    <t xml:space="preserve">M59-FINAL</t>
  </si>
  <si>
    <t xml:space="preserve">APP04 Formularze i wywiad
APP12 Treści edukacyjne i audio
APP09 Przypomnienia</t>
  </si>
  <si>
    <t xml:space="preserve">Walidacja populacji; antykoncepcja wymaga innego przeznaczenia</t>
  </si>
  <si>
    <t xml:space="preserve">M60-MVP</t>
  </si>
  <si>
    <t xml:space="preserve">2027 H2 (pełnomocnictwa, opiekun)</t>
  </si>
  <si>
    <t xml:space="preserve">Zachować bazowe funkcjonalności; rozszerzenie: Koordynacja wizyt i testów</t>
  </si>
  <si>
    <t xml:space="preserve">Dodać: APP17, APP06, SVC01. Wycofać/zastąpić: brak. Zachować kontrakt danych; test regresji i możliwość powrotu.</t>
  </si>
  <si>
    <t xml:space="preserve">APP04 Formularze i wywiad
APP12 Treści edukacyjne i audio
APP09 Przypomnienia
APP17 Rodzina i opiekunowie
APP06 Rezerwacje</t>
  </si>
  <si>
    <t xml:space="preserve">Kod: APP04 Formularze i wywiad; APP12 Treści edukacyjne i audio; APP09 Przypomnienia; APP17 Rodzina i opiekunowie; APP06 Rezerwacje
Integracja programowa z: SVC01 Laboratorium wykonujące badanie
Testy automatyczne i dokumentacja techniczna</t>
  </si>
  <si>
    <t xml:space="preserve">M60-MLP</t>
  </si>
  <si>
    <t xml:space="preserve">Zachować bazowe funkcjonalności; rozszerzenie: Program specjalistyczny</t>
  </si>
  <si>
    <t xml:space="preserve">Dodać: SVC05, AI07. Wycofać/zastąpić: brak. Zachować kontrakt danych; test regresji i możliwość powrotu.</t>
  </si>
  <si>
    <t xml:space="preserve">Kod: APP04 Formularze i wywiad; APP12 Treści edukacyjne i audio; APP09 Przypomnienia; APP17 Rodzina i opiekunowie; APP06 Rezerwacje
Integracja programowa z: SVC01 Laboratorium wykonujące badanie; SVC05 Personel kliniczny
Kod i dokumentacja techniczna dla: AI07 Model wskazania klinicznego
Testy automatyczne i dokumentacja techniczna</t>
  </si>
  <si>
    <t xml:space="preserve">Umowa z partnerem, zakup lub personel: SVC01 Laboratorium wykonujące badanie; SVC05 Personel kliniczny
Walidacja kliniczna, QMS i dopuszczenie: AI07 Model wskazania klinicznego
Akceptacja zakresu, testy z użytkownikami</t>
  </si>
  <si>
    <t xml:space="preserve">M60-FINAL</t>
  </si>
  <si>
    <t xml:space="preserve">APP17 Rodzina i opiekunowie
DAT01 Kanoniczny rekord zdrowia</t>
  </si>
  <si>
    <t xml:space="preserve">Zasady reprezentacji, wieku i zakres pediatryczny</t>
  </si>
  <si>
    <t xml:space="preserve">M61-MVP</t>
  </si>
  <si>
    <t xml:space="preserve">Zachować bazowe funkcjonalności; rozszerzenie: Kalendarz i historia rodziny</t>
  </si>
  <si>
    <t xml:space="preserve">Dodać: APP09, DAT07. Wycofać/zastąpić: brak. Zachować kontrakt danych; test regresji i możliwość powrotu.</t>
  </si>
  <si>
    <t xml:space="preserve">APP17 Rodzina i opiekunowie
DAT01 Kanoniczny rekord zdrowia
APP09 Przypomnienia
DAT07 Widok podłużny</t>
  </si>
  <si>
    <t xml:space="preserve">Kod: APP17 Rodzina i opiekunowie; DAT01 Kanoniczny rekord zdrowia; APP09 Przypomnienia; DAT07 Widok podłużny
Testy automatyczne i dokumentacja techniczna</t>
  </si>
  <si>
    <t xml:space="preserve">M61-MLP</t>
  </si>
  <si>
    <t xml:space="preserve">Zachować bazowe funkcjonalności; rozszerzenie: Opieka pediatryczna i zmiana praw z wiekiem</t>
  </si>
  <si>
    <t xml:space="preserve">Dodać: SVC05, CTL02. Wycofać/zastąpić: brak. Zachować kontrakt danych; test regresji i możliwość powrotu.</t>
  </si>
  <si>
    <t xml:space="preserve">APP17 Rodzina i opiekunowie
DAT01 Kanoniczny rekord zdrowia
APP09 Przypomnienia
DAT07 Widok podłużny
CTL02 Silnik uprawnień</t>
  </si>
  <si>
    <t xml:space="preserve">Kod: APP17 Rodzina i opiekunowie; DAT01 Kanoniczny rekord zdrowia; APP09 Przypomnienia; DAT07 Widok podłużny; CTL02 Silnik uprawnień
Integracja programowa z: SVC05 Personel kliniczny
Testy automatyczne i dokumentacja techniczna</t>
  </si>
  <si>
    <t xml:space="preserve">M61-FINAL</t>
  </si>
  <si>
    <t xml:space="preserve">APP18 Dostępność
APP17 Rodzina i opiekunowie</t>
  </si>
  <si>
    <t xml:space="preserve">Dostępność i potwierdzony odbiór zgłoszeń</t>
  </si>
  <si>
    <t xml:space="preserve">M62-MVP</t>
  </si>
  <si>
    <t xml:space="preserve">Zachować bazowe funkcjonalności; rozszerzenie: Kontakt kontrolny, zadania i pomiary</t>
  </si>
  <si>
    <t xml:space="preserve">Dodać: APP25, APP09, HW01. Wycofać/zastąpić: brak. Zachować kontrakt danych; test regresji i możliwość powrotu.</t>
  </si>
  <si>
    <t xml:space="preserve">APP18 Dostępność
APP17 Rodzina i opiekunowie
APP25 Senior i rehabilitacja
APP09 Przypomnienia</t>
  </si>
  <si>
    <t xml:space="preserve">HW01 Zatwierdzone urządzenie pomiarowe</t>
  </si>
  <si>
    <t xml:space="preserve">Kod: APP18 Dostępność; APP17 Rodzina i opiekunowie; APP25 Senior i rehabilitacja; APP09 Przypomnienia
Integracja programowa z: HW01 Zatwierdzone urządzenie pomiarowe
Testy automatyczne i dokumentacja techniczna</t>
  </si>
  <si>
    <t xml:space="preserve">Umowa z partnerem, zakup lub personel: HW01 Zatwierdzone urządzenie pomiarowe
Akceptacja zakresu, testy z użytkownikami</t>
  </si>
  <si>
    <t xml:space="preserve">M62-MLP</t>
  </si>
  <si>
    <t xml:space="preserve">Zachować bazowe funkcjonalności; rozszerzenie: Opieka domowa i placówkowa</t>
  </si>
  <si>
    <t xml:space="preserve">Dodać: SVC05, APP30. Wycofać/zastąpić: brak. Zachować kontrakt danych; test regresji i możliwość powrotu.</t>
  </si>
  <si>
    <t xml:space="preserve">APP18 Dostępność
APP17 Rodzina i opiekunowie
APP25 Senior i rehabilitacja
APP09 Przypomnienia
APP30 Operacje placówki</t>
  </si>
  <si>
    <t xml:space="preserve">HW01 Zatwierdzone urządzenie pomiarowe
SVC05 Personel kliniczny</t>
  </si>
  <si>
    <t xml:space="preserve">Kod: APP18 Dostępność; APP17 Rodzina i opiekunowie; APP25 Senior i rehabilitacja; APP09 Przypomnienia; APP30 Operacje placówki
Integracja programowa z: HW01 Zatwierdzone urządzenie pomiarowe; SVC05 Personel kliniczny
Testy automatyczne i dokumentacja techniczna</t>
  </si>
  <si>
    <t xml:space="preserve">Umowa z partnerem, zakup lub personel: HW01 Zatwierdzone urządzenie pomiarowe; SVC05 Personel kliniczny
Akceptacja zakresu, testy z użytkownikami</t>
  </si>
  <si>
    <t xml:space="preserve">M62-FINAL</t>
  </si>
  <si>
    <t xml:space="preserve">APP25 Senior i rehabilitacja
APP11 Cele i plany</t>
  </si>
  <si>
    <t xml:space="preserve">Walidacja pomiaru, efekt i koszt terapeuty</t>
  </si>
  <si>
    <t xml:space="preserve">M63-MVP</t>
  </si>
  <si>
    <t xml:space="preserve">Zachować bazowe funkcjonalności; rozszerzenie: Pomiar ruchu i zdalna sesja</t>
  </si>
  <si>
    <t xml:space="preserve">Dodać: AI06, APP07, SVC05. Wycofać/zastąpić: brak. Zachować kontrakt danych; test regresji i możliwość powrotu.</t>
  </si>
  <si>
    <t xml:space="preserve">AI06 Ocena pozy ruchowej
APP07 Wideokonsultacja</t>
  </si>
  <si>
    <t xml:space="preserve">Kod: APP25 Senior i rehabilitacja; APP11 Cele i plany
Adaptery i integracje: AI06 Ocena pozy ruchowej; APP07 Wideokonsultacja
Integracja programowa z: SVC05 Personel kliniczny
Testy automatyczne i dokumentacja techniczna</t>
  </si>
  <si>
    <t xml:space="preserve">Wybór dostawcy, konto, umowa powierzenia lub licencja: AI06 Ocena pozy ruchowej; APP07 Wideokonsultacja
Umowa z partnerem, zakup lub personel: SVC05 Personel kliniczny
Akceptacja zakresu, testy z użytkownikami</t>
  </si>
  <si>
    <t xml:space="preserve">M63-MLP</t>
  </si>
  <si>
    <t xml:space="preserve">Zachować bazowe funkcjonalności; rozszerzenie: Program monitoringu zdalnego i rehabilitacji z opieką</t>
  </si>
  <si>
    <t xml:space="preserve">Dodać: HW01, CTL18. Wycofać/zastąpić: brak. Zachować kontrakt danych; test regresji i możliwość powrotu.</t>
  </si>
  <si>
    <t xml:space="preserve">APP25 Senior i rehabilitacja
APP11 Cele i plany
CTL18 Reguły i orkiestracja</t>
  </si>
  <si>
    <t xml:space="preserve">SVC05 Personel kliniczny
HW01 Zatwierdzone urządzenie pomiarowe</t>
  </si>
  <si>
    <t xml:space="preserve">Kod: APP25 Senior i rehabilitacja; APP11 Cele i plany; CTL18 Reguły i orkiestracja
Adaptery i integracje: AI06 Ocena pozy ruchowej; APP07 Wideokonsultacja
Integracja programowa z: SVC05 Personel kliniczny; HW01 Zatwierdzone urządzenie pomiarowe
Testy automatyczne i dokumentacja techniczna</t>
  </si>
  <si>
    <t xml:space="preserve">Wybór dostawcy, konto, umowa powierzenia lub licencja: AI06 Ocena pozy ruchowej; APP07 Wideokonsultacja
Umowa z partnerem, zakup lub personel: SVC05 Personel kliniczny; HW01 Zatwierdzone urządzenie pomiarowe
Akceptacja zakresu, testy z użytkownikami</t>
  </si>
  <si>
    <t xml:space="preserve">M63-FINAL</t>
  </si>
  <si>
    <t xml:space="preserve">APP26 Ubezpieczenia i świadczenia
DAT05 Importer i parser dokumentów</t>
  </si>
  <si>
    <t xml:space="preserve">Aktualne warunki i umowa; Eternal nie jest automatycznie ubezpieczycielem</t>
  </si>
  <si>
    <t xml:space="preserve">M64-MVP</t>
  </si>
  <si>
    <t xml:space="preserve">Zachować bazowe funkcjonalności; rozszerzenie: Uprawnienia do świadczeń i partner</t>
  </si>
  <si>
    <t xml:space="preserve">Dodać: APP06. Wycofać/zastąpić: brak. Zachować kontrakt danych; test regresji i możliwość powrotu.</t>
  </si>
  <si>
    <t xml:space="preserve">APP26 Ubezpieczenia i świadczenia
DAT05 Importer i parser dokumentów
APP06 Rezerwacje</t>
  </si>
  <si>
    <t xml:space="preserve">Kod: APP26 Ubezpieczenia i świadczenia; DAT05 Importer i parser dokumentów; APP06 Rezerwacje
Testy automatyczne i dokumentacja techniczna</t>
  </si>
  <si>
    <t xml:space="preserve">M64-MLP</t>
  </si>
  <si>
    <t xml:space="preserve">Zachować bazowe funkcjonalności; rozszerzenie: Nawigacja po świadczeniach wielu płatników</t>
  </si>
  <si>
    <t xml:space="preserve">Dodać: CTL07. Wycofać/zastąpić: brak. Zachować kontrakt danych; test regresji i możliwość powrotu.</t>
  </si>
  <si>
    <t xml:space="preserve">APP26 Ubezpieczenia i świadczenia
DAT05 Importer i parser dokumentów
APP06 Rezerwacje
CTL07 Fabryka adapterów</t>
  </si>
  <si>
    <t xml:space="preserve">Kod: APP26 Ubezpieczenia i świadczenia; DAT05 Importer i parser dokumentów; APP06 Rezerwacje; CTL07 Fabryka adapterów
Testy automatyczne i dokumentacja techniczna</t>
  </si>
  <si>
    <t xml:space="preserve">M64-FINAL</t>
  </si>
  <si>
    <t xml:space="preserve">APP16 Nabór i współpraca R&amp;D</t>
  </si>
  <si>
    <t xml:space="preserve">Podstawa prawna i przepisy AI/ubezpieczeń; możliwy STOP</t>
  </si>
  <si>
    <t xml:space="preserve">M65-MVP</t>
  </si>
  <si>
    <t xml:space="preserve">Zachować bazowe funkcjonalności; rozszerzenie: Badanie jakości i równego traktowania</t>
  </si>
  <si>
    <t xml:space="preserve">Dodać: AI07, SVC10, CTL13. Wycofać/zastąpić: brak. Zachować kontrakt danych; test regresji i możliwość powrotu.</t>
  </si>
  <si>
    <t xml:space="preserve">APP16 Nabór i współpraca R&amp;D
CTL13 Rejestr modeli i ewaluacja</t>
  </si>
  <si>
    <t xml:space="preserve">SVC10 Badania i walidacja</t>
  </si>
  <si>
    <t xml:space="preserve">Kod: APP16 Nabór i współpraca R&amp;D; CTL13 Rejestr modeli i ewaluacja
Integracja programowa z: SVC10 Badania i walidacja
Kod i dokumentacja techniczna dla: AI07 Model wskazania klinicznego
Narzędzia i szablony dokumentów dla: CTL11 Brama przeznaczenia i kraju
Testy automatyczne i dokumentacja techniczna</t>
  </si>
  <si>
    <t xml:space="preserve">Umowa z partnerem, zakup lub personel: SVC10 Badania i walidacja
Walidacja kliniczna, QMS i dopuszczenie: AI07 Model wskazania klinicznego
Prowadzenie procesu: CTL11 Brama przeznaczenia i kraju
Akceptacja zakresu, testy z użytkownikami</t>
  </si>
  <si>
    <t xml:space="preserve">M65-MLP</t>
  </si>
  <si>
    <t xml:space="preserve">Zachować bazowe funkcjonalności; rozszerzenie: Ograniczona usługa B2B po kwalifikacji</t>
  </si>
  <si>
    <t xml:space="preserve">Dodać: APP26. Wycofać/zastąpić: brak. Zachować kontrakt danych; test regresji i możliwość powrotu.</t>
  </si>
  <si>
    <t xml:space="preserve">APP16 Nabór i współpraca R&amp;D
CTL13 Rejestr modeli i ewaluacja
APP26 Ubezpieczenia i świadczenia</t>
  </si>
  <si>
    <t xml:space="preserve">Kod: APP16 Nabór i współpraca R&amp;D; CTL13 Rejestr modeli i ewaluacja; APP26 Ubezpieczenia i świadczenia
Integracja programowa z: SVC10 Badania i walidacja
Kod i dokumentacja techniczna dla: AI07 Model wskazania klinicznego
Narzędzia i szablony dokumentów dla: CTL11 Brama przeznaczenia i kraju
Testy automatyczne i dokumentacja techniczna</t>
  </si>
  <si>
    <t xml:space="preserve">M65-FINAL</t>
  </si>
  <si>
    <t xml:space="preserve">APP29 Pakiety i subskrypcje
APP11 Cele i plany</t>
  </si>
  <si>
    <t xml:space="preserve">Brak indywidualnego nadzoru zdrowia przez pracodawcę</t>
  </si>
  <si>
    <t xml:space="preserve">M66-MVP</t>
  </si>
  <si>
    <t xml:space="preserve">Zachować bazowe funkcjonalności; rozszerzenie: Usługi i świadczenia z izolacją danych</t>
  </si>
  <si>
    <t xml:space="preserve">Dodać: APP06, CTL04. Wycofać/zastąpić: brak. Zachować kontrakt danych; test regresji i możliwość powrotu.</t>
  </si>
  <si>
    <t xml:space="preserve">APP29 Pakiety i subskrypcje
APP11 Cele i plany
APP06 Rezerwacje
CTL04 Izolacja organizacji</t>
  </si>
  <si>
    <t xml:space="preserve">Kod: APP29 Pakiety i subskrypcje; APP11 Cele i plany; APP06 Rezerwacje; CTL04 Izolacja organizacji
Testy automatyczne i dokumentacja techniczna</t>
  </si>
  <si>
    <t xml:space="preserve">M66-MLP</t>
  </si>
  <si>
    <t xml:space="preserve">Zachować bazowe funkcjonalności; rozszerzenie: Program B2B dla wielu firm</t>
  </si>
  <si>
    <t xml:space="preserve">Dodać: CTL09, CTL10. Wycofać/zastąpić: brak. Zachować kontrakt danych; test regresji i możliwość powrotu.</t>
  </si>
  <si>
    <t xml:space="preserve">APP29 Pakiety i subskrypcje
APP11 Cele i plany
APP06 Rezerwacje
CTL04 Izolacja organizacji
CTL09 Uprawnienia płatne i pomiar użycia
CTL10 Rozliczenie partnera</t>
  </si>
  <si>
    <t xml:space="preserve">Kod: APP29 Pakiety i subskrypcje; APP11 Cele i plany; APP06 Rezerwacje; CTL04 Izolacja organizacji; CTL09 Uprawnienia płatne i pomiar użycia; CTL10 Rozliczenie partnera
Testy automatyczne i dokumentacja techniczna</t>
  </si>
  <si>
    <t xml:space="preserve">M66-FINAL</t>
  </si>
  <si>
    <t xml:space="preserve">APP27 Analityka programów
DAT09 Kohorty i środowisko badawcze</t>
  </si>
  <si>
    <t xml:space="preserve">Ryzyko ponownej identyfikacji i małych grup</t>
  </si>
  <si>
    <t xml:space="preserve">M67-MVP</t>
  </si>
  <si>
    <t xml:space="preserve">Zachować bazowe funkcjonalności; rozszerzenie: Progi grup i kontrola identyfikacji</t>
  </si>
  <si>
    <t xml:space="preserve">Dodać: CTL02. Wycofać/zastąpić: brak. Zachować kontrakt danych; test regresji i możliwość powrotu.</t>
  </si>
  <si>
    <t xml:space="preserve">APP27 Analityka programów
DAT09 Kohorty i środowisko badawcze
CTL02 Silnik uprawnień</t>
  </si>
  <si>
    <t xml:space="preserve">Kod: APP27 Analityka programów; DAT09 Kohorty i środowisko badawcze; CTL02 Silnik uprawnień
Testy automatyczne i dokumentacja techniczna</t>
  </si>
  <si>
    <t xml:space="preserve">M67-MLP</t>
  </si>
  <si>
    <t xml:space="preserve">Zachować bazowe funkcjonalności; rozszerzenie: Porównanie programów</t>
  </si>
  <si>
    <t xml:space="preserve">Dodać: CTL04. Wycofać/zastąpić: brak. Zachować kontrakt danych; test regresji i możliwość powrotu.</t>
  </si>
  <si>
    <t xml:space="preserve">APP27 Analityka programów
DAT09 Kohorty i środowisko badawcze
CTL02 Silnik uprawnień
CTL04 Izolacja organizacji</t>
  </si>
  <si>
    <t xml:space="preserve">Kod: APP27 Analityka programów; DAT09 Kohorty i środowisko badawcze; CTL02 Silnik uprawnień; CTL04 Izolacja organizacji
Testy automatyczne i dokumentacja techniczna</t>
  </si>
  <si>
    <t xml:space="preserve">M67-FINAL</t>
  </si>
  <si>
    <t xml:space="preserve">AI03 Model językowy
INF12 Indeks wyszukiwania</t>
  </si>
  <si>
    <t xml:space="preserve">Ewaluacja; OpenEvidence jako warunkowy zamiennik INT19 po potwierdzeniu praw i zakresu</t>
  </si>
  <si>
    <t xml:space="preserve">M69-MVP</t>
  </si>
  <si>
    <t xml:space="preserve">Zachować bazowe funkcjonalności; rozszerzenie: Rekomendacje i kontekst w dozwolonym zakresie</t>
  </si>
  <si>
    <t xml:space="preserve">Dodać: AI07, SVC05. Wycofać/zastąpić: brak. Zachować kontrakt danych; test regresji i możliwość powrotu.</t>
  </si>
  <si>
    <t xml:space="preserve">Kod: AI04 Retriever RAG; AI13 Weryfikator cytowań i odpowiedzi; APP12 Treści edukacyjne i audio
Adaptery i integracje: AI03 Model językowy; INF12 Indeks wyszukiwania
Integracja programowa z: SVC05 Personel kliniczny
Kod i dokumentacja techniczna dla: AI07 Model wskazania klinicznego
Testy automatyczne i dokumentacja techniczna</t>
  </si>
  <si>
    <t xml:space="preserve">Wybór dostawcy, konto, umowa powierzenia lub licencja: AI03 Model językowy; INF12 Indeks wyszukiwania
Umowa z partnerem, zakup lub personel: SVC05 Personel kliniczny
Walidacja kliniczna, QMS i dopuszczenie: AI07 Model wskazania klinicznego
Akceptacja zakresu, testy z użytkownikami</t>
  </si>
  <si>
    <t xml:space="preserve">M69-MLP</t>
  </si>
  <si>
    <t xml:space="preserve">Zachować bazowe funkcjonalności; rozszerzenie: Lekarz wspierany AI; autonomiczny lekarz jako oddzielny cel R&amp;D</t>
  </si>
  <si>
    <t xml:space="preserve">AI03 Model językowy
INF12 Indeks wyszukiwania
CTL12 Jakość i dokumentacja wydania</t>
  </si>
  <si>
    <t xml:space="preserve">Kod: AI04 Retriever RAG; AI13 Weryfikator cytowań i odpowiedzi; APP12 Treści edukacyjne i audio
Adaptery i integracje: AI03 Model językowy; INF12 Indeks wyszukiwania
Integracja programowa z: SVC05 Personel kliniczny
Kod i dokumentacja techniczna dla: AI07 Model wskazania klinicznego
Narzędzia i szablony dokumentów dla: CTL12 Jakość i dokumentacja wydania
Testy automatyczne i dokumentacja techniczna</t>
  </si>
  <si>
    <t xml:space="preserve">Wybór dostawcy, konto, umowa powierzenia lub licencja: AI03 Model językowy; INF12 Indeks wyszukiwania
Umowa z partnerem, zakup lub personel: SVC05 Personel kliniczny
Walidacja kliniczna, QMS i dopuszczenie: AI07 Model wskazania klinicznego
Prowadzenie procesu: CTL12 Jakość i dokumentacja wydania
Akceptacja zakresu, testy z użytkownikami</t>
  </si>
  <si>
    <t xml:space="preserve">M69-FINAL</t>
  </si>
  <si>
    <t xml:space="preserve">M32</t>
  </si>
  <si>
    <t xml:space="preserve">Bramka urządzeń</t>
  </si>
  <si>
    <t xml:space="preserve">Telefon lub gotowy gateway</t>
  </si>
  <si>
    <t xml:space="preserve">INT05 Adapter BLE i lokalny gateway
DAT01 Kanoniczny rekord zdrowia</t>
  </si>
  <si>
    <t xml:space="preserve">HW04 Gateway domowy</t>
  </si>
  <si>
    <t xml:space="preserve">Kod: INT05 Adapter BLE i lokalny gateway; DAT01 Kanoniczny rekord zdrowia
Integracja programowa z: HW04 Gateway domowy
Testy automatyczne i dokumentacja techniczna</t>
  </si>
  <si>
    <t xml:space="preserve">Umowa z partnerem, zakup lub personel: HW04 Gateway domowy
Akceptacja zakresu, testy z użytkownikami</t>
  </si>
  <si>
    <t xml:space="preserve">Zgodność sprzętu, brak sieci i koszt serwisu</t>
  </si>
  <si>
    <t xml:space="preserve">M32-MVP</t>
  </si>
  <si>
    <t xml:space="preserve">Zachować bazowe funkcjonalności; rozszerzenie: Parowanie i buforowanie offline</t>
  </si>
  <si>
    <t xml:space="preserve">Dodać: SYS06, CTL16. Wycofać/zastąpić: brak. Zachować kontrakt danych; test regresji i możliwość powrotu.</t>
  </si>
  <si>
    <t xml:space="preserve">INT05 Adapter BLE i lokalny gateway
DAT01 Kanoniczny rekord zdrowia
SYS06 Offline i synchronizacja klienta
CTL16 Rejestr urządzeń</t>
  </si>
  <si>
    <t xml:space="preserve">Kod: INT05 Adapter BLE i lokalny gateway; DAT01 Kanoniczny rekord zdrowia; SYS06 Offline i synchronizacja klienta; CTL16 Rejestr urządzeń
Integracja programowa z: HW04 Gateway domowy
Testy automatyczne i dokumentacja techniczna</t>
  </si>
  <si>
    <t xml:space="preserve">M32-MLP</t>
  </si>
  <si>
    <t xml:space="preserve">Zachować bazowe funkcjonalności; rozszerzenie: Zarządzana flota; ODM opcjonalnie</t>
  </si>
  <si>
    <t xml:space="preserve">Dodać: HW16. Wycofać/zastąpić: brak. Zachować kontrakt danych; test regresji i możliwość powrotu.</t>
  </si>
  <si>
    <t xml:space="preserve">HW04 Gateway domowy
HW16 Firmware i aktualizacje</t>
  </si>
  <si>
    <t xml:space="preserve">Kod: INT05 Adapter BLE i lokalny gateway; DAT01 Kanoniczny rekord zdrowia; SYS06 Offline i synchronizacja klienta; CTL16 Rejestr urządzeń
Integracja programowa z: HW04 Gateway domowy; HW16 Firmware i aktualizacje
Testy automatyczne i dokumentacja techniczna</t>
  </si>
  <si>
    <t xml:space="preserve">Umowa z partnerem, zakup lub personel: HW04 Gateway domowy; HW16 Firmware i aktualizacje
Akceptacja zakresu, testy z użytkownikami</t>
  </si>
  <si>
    <t xml:space="preserve">M32-FINAL</t>
  </si>
  <si>
    <t xml:space="preserve">M33</t>
  </si>
  <si>
    <t xml:space="preserve">Diagnostyka podstawowa</t>
  </si>
  <si>
    <t xml:space="preserve">Zestaw gotowych urządzeń pomiarowych</t>
  </si>
  <si>
    <t xml:space="preserve">APP02 Raport i zestawienie</t>
  </si>
  <si>
    <t xml:space="preserve">Kod: APP02 Raport i zestawienie
Integracja programowa z: HW01 Zatwierdzone urządzenie pomiarowe
Testy automatyczne i dokumentacja techniczna</t>
  </si>
  <si>
    <t xml:space="preserve">Każdy pomiar wymaga odpowiedniego urządzenia i jego wskazania</t>
  </si>
  <si>
    <t xml:space="preserve">M33-MVP</t>
  </si>
  <si>
    <t xml:space="preserve">Zachować bazowe funkcjonalności; rozszerzenie: Wspólny przebieg pomiaru</t>
  </si>
  <si>
    <t xml:space="preserve">Dodać: INT05, CTL16. Wycofać/zastąpić: brak. Zachować kontrakt danych; test regresji i możliwość powrotu.</t>
  </si>
  <si>
    <t xml:space="preserve">APP02 Raport i zestawienie
INT05 Adapter BLE i lokalny gateway
CTL16 Rejestr urządzeń</t>
  </si>
  <si>
    <t xml:space="preserve">Kod: APP02 Raport i zestawienie; INT05 Adapter BLE i lokalny gateway; CTL16 Rejestr urządzeń
Integracja programowa z: HW01 Zatwierdzone urządzenie pomiarowe
Testy automatyczne i dokumentacja techniczna</t>
  </si>
  <si>
    <t xml:space="preserve">M33-MLP</t>
  </si>
  <si>
    <t xml:space="preserve">Zachować bazowe funkcjonalności; rozszerzenie: Rozbudowa o potrzebną diagnostykę</t>
  </si>
  <si>
    <t xml:space="preserve">Dodać: HW06, APP30. Wycofać/zastąpić: brak. Zachować kontrakt danych; test regresji i możliwość powrotu.</t>
  </si>
  <si>
    <t xml:space="preserve">APP02 Raport i zestawienie
INT05 Adapter BLE i lokalny gateway
CTL16 Rejestr urządzeń
APP30 Operacje placówki</t>
  </si>
  <si>
    <t xml:space="preserve">HW01 Zatwierdzone urządzenie pomiarowe
HW06 Analizator POCT</t>
  </si>
  <si>
    <t xml:space="preserve">Kod: APP02 Raport i zestawienie; INT05 Adapter BLE i lokalny gateway; CTL16 Rejestr urządzeń; APP30 Operacje placówki
Integracja programowa z: HW01 Zatwierdzone urządzenie pomiarowe; HW06 Analizator POCT
Testy automatyczne i dokumentacja techniczna</t>
  </si>
  <si>
    <t xml:space="preserve">Umowa z partnerem, zakup lub personel: HW01 Zatwierdzone urządzenie pomiarowe; HW06 Analizator POCT
Akceptacja zakresu, testy z użytkownikami</t>
  </si>
  <si>
    <t xml:space="preserve">M33-FINAL</t>
  </si>
  <si>
    <t xml:space="preserve">M34</t>
  </si>
  <si>
    <t xml:space="preserve">Przebieg zdalnego monitoringu</t>
  </si>
  <si>
    <t xml:space="preserve">Eternal RPM Home</t>
  </si>
  <si>
    <t xml:space="preserve">RPM na platformie partnera z zespołem opieki</t>
  </si>
  <si>
    <t xml:space="preserve">INT10 Vitalera Platform
HW01 Zatwierdzone urządzenie pomiarowe
SVC05 Personel kliniczny</t>
  </si>
  <si>
    <t xml:space="preserve">Integracja programowa z: INT10 Vitalera Platform; HW01 Zatwierdzone urządzenie pomiarowe; SVC05 Personel kliniczny
Testy automatyczne i dokumentacja techniczna</t>
  </si>
  <si>
    <t xml:space="preserve">Umowa z partnerem, zakup lub personel: INT10 Vitalera Platform; HW01 Zatwierdzone urządzenie pomiarowe; SVC05 Personel kliniczny
Akceptacja zakresu, testy z użytkownikami</t>
  </si>
  <si>
    <t xml:space="preserve">SLA pomiaru i reakcji; brak aplikacji tylko dla potwierdzonej konfiguracji sprzętowej</t>
  </si>
  <si>
    <t xml:space="preserve">M34-MVP</t>
  </si>
  <si>
    <t xml:space="preserve">Zachować bazowe funkcjonalności; rozszerzenie: Własny przebieg pracy i API/SDK partnera</t>
  </si>
  <si>
    <t xml:space="preserve">Dodać: INT07, APP03, CTL18. Wycofać/zastąpić: INT10. Zachować kontrakt danych; test regresji i możliwość powrotu.</t>
  </si>
  <si>
    <t xml:space="preserve">APP03 Skrzynka i kolejka pracy
CTL18 Reguły i orkiestracja</t>
  </si>
  <si>
    <t xml:space="preserve">INT07 Adapter Vitalera API</t>
  </si>
  <si>
    <t xml:space="preserve">Kod: APP03 Skrzynka i kolejka pracy; CTL18 Reguły i orkiestracja
Adaptery i integracje: INT07 Adapter Vitalera API
Integracja programowa z: HW01 Zatwierdzone urządzenie pomiarowe; SVC05 Personel kliniczny
Testy automatyczne i dokumentacja techniczna</t>
  </si>
  <si>
    <t xml:space="preserve">Wybór dostawcy, konto, umowa powierzenia lub licencja: INT07 Adapter Vitalera API
Umowa z partnerem, zakup lub personel: HW01 Zatwierdzone urządzenie pomiarowe; SVC05 Personel kliniczny
Akceptacja zakresu, testy z użytkownikami</t>
  </si>
  <si>
    <t xml:space="preserve">M34-MLP</t>
  </si>
  <si>
    <t xml:space="preserve">Zachować bazowe funkcjonalności; rozszerzenie: RPM wielu dostawców</t>
  </si>
  <si>
    <t xml:space="preserve">Dodać: INT04, CTL06. Wycofać/zastąpić: brak. Zachować kontrakt danych; test regresji i możliwość powrotu.</t>
  </si>
  <si>
    <t xml:space="preserve">APP03 Skrzynka i kolejka pracy
CTL18 Reguły i orkiestracja
CTL06 Router dostawców</t>
  </si>
  <si>
    <t xml:space="preserve">INT07 Adapter Vitalera API
INT04 Adapter bezpośredni OEM</t>
  </si>
  <si>
    <t xml:space="preserve">Kod: APP03 Skrzynka i kolejka pracy; CTL18 Reguły i orkiestracja; CTL06 Router dostawców
Adaptery i integracje: INT07 Adapter Vitalera API; INT04 Adapter bezpośredni OEM
Integracja programowa z: HW01 Zatwierdzone urządzenie pomiarowe; SVC05 Personel kliniczny
Testy automatyczne i dokumentacja techniczna</t>
  </si>
  <si>
    <t xml:space="preserve">Wybór dostawcy, konto, umowa powierzenia lub licencja: INT07 Adapter Vitalera API; INT04 Adapter bezpośredni OEM
Umowa z partnerem, zakup lub personel: HW01 Zatwierdzone urządzenie pomiarowe; SVC05 Personel kliniczny
Akceptacja zakresu, testy z użytkownikami</t>
  </si>
  <si>
    <t xml:space="preserve">M34-FINAL</t>
  </si>
  <si>
    <t xml:space="preserve">M35</t>
  </si>
  <si>
    <t xml:space="preserve">Zestaw Care Pod</t>
  </si>
  <si>
    <t xml:space="preserve">Eternal Care Pod</t>
  </si>
  <si>
    <t xml:space="preserve">Care Pod jako zestaw w placówce partnera</t>
  </si>
  <si>
    <t xml:space="preserve">HW01 Zatwierdzone urządzenie pomiarowe
SVC05 Personel kliniczny
SVC08 Klinika</t>
  </si>
  <si>
    <t xml:space="preserve">Adaptery i integracje: APP07 Wideokonsultacja
Integracja programowa z: HW01 Zatwierdzone urządzenie pomiarowe; SVC05 Personel kliniczny; SVC08 Klinika
Testy automatyczne i dokumentacja techniczna</t>
  </si>
  <si>
    <t xml:space="preserve">Wybór dostawcy, konto, umowa powierzenia lub licencja: APP07 Wideokonsultacja
Umowa z partnerem, zakup lub personel: HW01 Zatwierdzone urządzenie pomiarowe; SVC05 Personel kliniczny; SVC08 Klinika
Akceptacja zakresu, testy z użytkownikami</t>
  </si>
  <si>
    <t xml:space="preserve">Obłożenie, personel, marża; pod nie zastępuje organizacji kliniki/szpitala</t>
  </si>
  <si>
    <t xml:space="preserve">M35-MVP</t>
  </si>
  <si>
    <t xml:space="preserve">Zachować bazowe funkcjonalności; rozszerzenie: Punkt obsługi z gateway i badaniami</t>
  </si>
  <si>
    <t xml:space="preserve">Dodać: HW04, APP30, SVC01. Wycofać/zastąpić: brak. Zachować kontrakt danych; test regresji i możliwość powrotu.</t>
  </si>
  <si>
    <t xml:space="preserve">APP30 Operacje placówki</t>
  </si>
  <si>
    <t xml:space="preserve">HW01 Zatwierdzone urządzenie pomiarowe
SVC05 Personel kliniczny
SVC08 Klinika
HW04 Gateway domowy
SVC01 Laboratorium wykonujące badanie</t>
  </si>
  <si>
    <t xml:space="preserve">Kod: APP30 Operacje placówki
Adaptery i integracje: APP07 Wideokonsultacja
Integracja programowa z: HW01 Zatwierdzone urządzenie pomiarowe; SVC05 Personel kliniczny; SVC08 Klinika; HW04 Gateway domowy; SVC01 Laboratorium wykonujące badanie
Testy automatyczne i dokumentacja techniczna</t>
  </si>
  <si>
    <t xml:space="preserve">Wybór dostawcy, konto, umowa powierzenia lub licencja: APP07 Wideokonsultacja
Umowa z partnerem, zakup lub personel: HW01 Zatwierdzone urządzenie pomiarowe; SVC05 Personel kliniczny; SVC08 Klinika; HW04 Gateway domowy; SVC01 Laboratorium wykonujące badanie
Akceptacja zakresu, testy z użytkownikami</t>
  </si>
  <si>
    <t xml:space="preserve">M35-MLP</t>
  </si>
  <si>
    <t xml:space="preserve">Zachować bazowe funkcjonalności; rozszerzenie: Sieć podów: partner lub własna placówka</t>
  </si>
  <si>
    <t xml:space="preserve">Dodać: HW05. Wycofać/zastąpić: brak. Zachować kontrakt danych; test regresji i możliwość powrotu.</t>
  </si>
  <si>
    <t xml:space="preserve">HW01 Zatwierdzone urządzenie pomiarowe
SVC05 Personel kliniczny
SVC08 Klinika
HW04 Gateway domowy
SVC01 Laboratorium wykonujące badanie
HW05 Care Pod</t>
  </si>
  <si>
    <t xml:space="preserve">Kod: APP30 Operacje placówki
Adaptery i integracje: APP07 Wideokonsultacja
Integracja programowa z: HW01 Zatwierdzone urządzenie pomiarowe; SVC05 Personel kliniczny; SVC08 Klinika; HW04 Gateway domowy; SVC01 Laboratorium wykonujące badanie; HW05 Care Pod
Testy automatyczne i dokumentacja techniczna</t>
  </si>
  <si>
    <t xml:space="preserve">Wybór dostawcy, konto, umowa powierzenia lub licencja: APP07 Wideokonsultacja
Umowa z partnerem, zakup lub personel: HW01 Zatwierdzone urządzenie pomiarowe; SVC05 Personel kliniczny; SVC08 Klinika; HW04 Gateway domowy; SVC01 Laboratorium wykonujące badanie; HW05 Care Pod
Akceptacja zakresu, testy z użytkownikami</t>
  </si>
  <si>
    <t xml:space="preserve">M35-FINAL</t>
  </si>
  <si>
    <t xml:space="preserve">Bezpieczeństwo wydania, serwis; zmiana dawki oddzielnie</t>
  </si>
  <si>
    <t xml:space="preserve">M36-MVP</t>
  </si>
  <si>
    <t xml:space="preserve">Zachować bazowe funkcjonalności; rozszerzenie: Dozownik OEM z monitoringiem</t>
  </si>
  <si>
    <t xml:space="preserve">Dodać: HW08, CTL16. Wycofać/zastąpić: brak. Zachować kontrakt danych; test regresji i możliwość powrotu.</t>
  </si>
  <si>
    <t xml:space="preserve">APP19 Rejestr leków
APP09 Przypomnienia
CTL16 Rejestr urządzeń</t>
  </si>
  <si>
    <t xml:space="preserve">HW08 Dozownik</t>
  </si>
  <si>
    <t xml:space="preserve">Kod: APP19 Rejestr leków; APP09 Przypomnienia; CTL16 Rejestr urządzeń
Integracja programowa z: HW08 Dozownik
Testy automatyczne i dokumentacja techniczna</t>
  </si>
  <si>
    <t xml:space="preserve">Umowa z partnerem, zakup lub personel: HW08 Dozownik
Akceptacja zakresu, testy z użytkownikami</t>
  </si>
  <si>
    <t xml:space="preserve">M36-MLP</t>
  </si>
  <si>
    <t xml:space="preserve">Zachować bazowe funkcjonalności; rozszerzenie: Dozownik ze sprawdzonym planem i zabezpieczeniem awaryjnym</t>
  </si>
  <si>
    <t xml:space="preserve">Dodać: CTL17, SVC05. Wycofać/zastąpić: brak. Zachować kontrakt danych; test regresji i możliwość powrotu.</t>
  </si>
  <si>
    <t xml:space="preserve">APP19 Rejestr leków
APP09 Przypomnienia
CTL16 Rejestr urządzeń
CTL17 Bezpieczny stan awarii</t>
  </si>
  <si>
    <t xml:space="preserve">HW08 Dozownik
SVC05 Personel kliniczny</t>
  </si>
  <si>
    <t xml:space="preserve">Kod: APP19 Rejestr leków; APP09 Przypomnienia; CTL16 Rejestr urządzeń; CTL17 Bezpieczny stan awarii
Integracja programowa z: HW08 Dozownik; SVC05 Personel kliniczny
Testy automatyczne i dokumentacja techniczna</t>
  </si>
  <si>
    <t xml:space="preserve">Umowa z partnerem, zakup lub personel: HW08 Dozownik; SVC05 Personel kliniczny
Akceptacja zakresu, testy z użytkownikami</t>
  </si>
  <si>
    <t xml:space="preserve">M36-FINAL</t>
  </si>
  <si>
    <t xml:space="preserve">M37</t>
  </si>
  <si>
    <t xml:space="preserve">Zaawansowana diagnostyka domowa</t>
  </si>
  <si>
    <t xml:space="preserve">Eternal Home Diagnostics</t>
  </si>
  <si>
    <t xml:space="preserve">Test partnera i import wyniku</t>
  </si>
  <si>
    <t xml:space="preserve">APP06 Rezerwacje
DAT05 Importer i parser dokumentów</t>
  </si>
  <si>
    <t xml:space="preserve">Kod: APP06 Rezerwacje; DAT05 Importer i parser dokumentów
Integracja programowa z: SVC01 Laboratorium wykonujące badanie
Testy automatyczne i dokumentacja techniczna</t>
  </si>
  <si>
    <t xml:space="preserve">Koszt testu i dojrzałość; własny lab-on-chip opcją R&amp;D</t>
  </si>
  <si>
    <t xml:space="preserve">M37-MVP</t>
  </si>
  <si>
    <t xml:space="preserve">Zachować bazowe funkcjonalności; rozszerzenie: Dostępny analizator POCT OEM</t>
  </si>
  <si>
    <t xml:space="preserve">Dodać: HW06, HW07, INT11. Wycofać/zastąpić: brak. Zachować kontrakt danych; test regresji i możliwość powrotu.</t>
  </si>
  <si>
    <t xml:space="preserve">SVC01 Laboratorium wykonujące badanie
HW06 Analizator POCT
HW07 Wkład i odczynnik</t>
  </si>
  <si>
    <t xml:space="preserve">Kod: APP06 Rezerwacje; DAT05 Importer i parser dokumentów
Adaptery i integracje: INT11 Adapter LIS
Integracja programowa z: SVC01 Laboratorium wykonujące badanie; HW06 Analizator POCT; HW07 Wkład i odczynnik
Testy automatyczne i dokumentacja techniczna</t>
  </si>
  <si>
    <t xml:space="preserve">Wybór dostawcy, konto, umowa powierzenia lub licencja: INT11 Adapter LIS
Umowa z partnerem, zakup lub personel: SVC01 Laboratorium wykonujące badanie; HW06 Analizator POCT; HW07 Wkład i odczynnik
Akceptacja zakresu, testy z użytkownikami</t>
  </si>
  <si>
    <t xml:space="preserve">M37-MLP</t>
  </si>
  <si>
    <t xml:space="preserve">Zachować bazowe funkcjonalności; rozszerzenie: Wybrane czujniki / lab-on-chip po walidacji</t>
  </si>
  <si>
    <t xml:space="preserve">Dodać: SVC10. Wycofać/zastąpić: brak. Zachować kontrakt danych; test regresji i możliwość powrotu.</t>
  </si>
  <si>
    <t xml:space="preserve">SVC01 Laboratorium wykonujące badanie
HW06 Analizator POCT
HW07 Wkład i odczynnik
SVC10 Badania i walidacja</t>
  </si>
  <si>
    <t xml:space="preserve">Kod: APP06 Rezerwacje; DAT05 Importer i parser dokumentów
Adaptery i integracje: INT11 Adapter LIS
Integracja programowa z: SVC01 Laboratorium wykonujące badanie; HW06 Analizator POCT; HW07 Wkład i odczynnik; SVC10 Badania i walidacja
Testy automatyczne i dokumentacja techniczna</t>
  </si>
  <si>
    <t xml:space="preserve">Wybór dostawcy, konto, umowa powierzenia lub licencja: INT11 Adapter LIS
Umowa z partnerem, zakup lub personel: SVC01 Laboratorium wykonujące badanie; HW06 Analizator POCT; HW07 Wkład i odczynnik; SVC10 Badania i walidacja
Akceptacja zakresu, testy z użytkownikami</t>
  </si>
  <si>
    <t xml:space="preserve">M37-FINAL</t>
  </si>
  <si>
    <t xml:space="preserve">APP25 Senior i rehabilitacja
APP09 Przypomnienia
APP17 Rodzina i opiekunowie</t>
  </si>
  <si>
    <t xml:space="preserve">Fałszywe alarmy, odbiór przez opiekuna i efekt programu</t>
  </si>
  <si>
    <t xml:space="preserve">M38-MVP</t>
  </si>
  <si>
    <t xml:space="preserve">Zachować bazowe funkcjonalności; rozszerzenie: Czujniki OEM i ocena ruchu</t>
  </si>
  <si>
    <t xml:space="preserve">Dodać: HW01, AI06. Wycofać/zastąpić: brak. Zachować kontrakt danych; test regresji i możliwość powrotu.</t>
  </si>
  <si>
    <t xml:space="preserve">Kod: APP25 Senior i rehabilitacja; APP09 Przypomnienia; APP17 Rodzina i opiekunowie
Adaptery i integracje: AI06 Ocena pozy ruchowej
Integracja programowa z: HW01 Zatwierdzone urządzenie pomiarowe
Testy automatyczne i dokumentacja techniczna</t>
  </si>
  <si>
    <t xml:space="preserve">Wybór dostawcy, konto, umowa powierzenia lub licencja: AI06 Ocena pozy ruchowej
Umowa z partnerem, zakup lub personel: HW01 Zatwierdzone urządzenie pomiarowe
Akceptacja zakresu, testy z użytkownikami</t>
  </si>
  <si>
    <t xml:space="preserve">M38-MLP</t>
  </si>
  <si>
    <t xml:space="preserve">Zachować bazowe funkcjonalności; rozszerzenie: Program bezpieczeństwa i rehabilitacji</t>
  </si>
  <si>
    <t xml:space="preserve">APP25 Senior i rehabilitacja
APP09 Przypomnienia
APP17 Rodzina i opiekunowie
CTL18 Reguły i orkiestracja</t>
  </si>
  <si>
    <t xml:space="preserve">Kod: APP25 Senior i rehabilitacja; APP09 Przypomnienia; APP17 Rodzina i opiekunowie; CTL18 Reguły i orkiestracja
Adaptery i integracje: AI06 Ocena pozy ruchowej
Integracja programowa z: HW01 Zatwierdzone urządzenie pomiarowe; SVC05 Personel kliniczny
Testy automatyczne i dokumentacja techniczna</t>
  </si>
  <si>
    <t xml:space="preserve">Wybór dostawcy, konto, umowa powierzenia lub licencja: AI06 Ocena pozy ruchowej
Umowa z partnerem, zakup lub personel: HW01 Zatwierdzone urządzenie pomiarowe; SVC05 Personel kliniczny
Akceptacja zakresu, testy z użytkownikami</t>
  </si>
  <si>
    <t xml:space="preserve">M38-FINAL</t>
  </si>
  <si>
    <t xml:space="preserve">CTL16 Rejestr urządzeń
DAT05 Importer i parser dokumentów</t>
  </si>
  <si>
    <t xml:space="preserve">Umowa OEM i bezpieczeństwo; bez własnego implantu</t>
  </si>
  <si>
    <t xml:space="preserve">M39-MVP</t>
  </si>
  <si>
    <t xml:space="preserve">Zachować bazowe funkcjonalności; rozszerzenie: Adapter partnera i metadane firmware</t>
  </si>
  <si>
    <t xml:space="preserve">Dodać: INT04, HW16. Wycofać/zastąpić: brak. Zachować kontrakt danych; test regresji i możliwość powrotu.</t>
  </si>
  <si>
    <t xml:space="preserve">HW16 Firmware i aktualizacje</t>
  </si>
  <si>
    <t xml:space="preserve">Kod: CTL16 Rejestr urządzeń; DAT05 Importer i parser dokumentów
Adaptery i integracje: INT04 Adapter bezpośredni OEM
Integracja programowa z: HW16 Firmware i aktualizacje
Testy automatyczne i dokumentacja techniczna</t>
  </si>
  <si>
    <t xml:space="preserve">Wybór dostawcy, konto, umowa powierzenia lub licencja: INT04 Adapter bezpośredni OEM
Umowa z partnerem, zakup lub personel: HW16 Firmware i aktualizacje
Akceptacja zakresu, testy z użytkownikami</t>
  </si>
  <si>
    <t xml:space="preserve">M39-MLP</t>
  </si>
  <si>
    <t xml:space="preserve">Zachować bazowe funkcjonalności; rozszerzenie: Protokół wielu dostawców</t>
  </si>
  <si>
    <t xml:space="preserve">CTL16 Rejestr urządzeń
DAT05 Importer i parser dokumentów
CTL07 Fabryka adapterów</t>
  </si>
  <si>
    <t xml:space="preserve">Kod: CTL16 Rejestr urządzeń; DAT05 Importer i parser dokumentów; CTL07 Fabryka adapterów
Adaptery i integracje: INT04 Adapter bezpośredni OEM
Integracja programowa z: HW16 Firmware i aktualizacje
Testy automatyczne i dokumentacja techniczna</t>
  </si>
  <si>
    <t xml:space="preserve">M39-FINAL</t>
  </si>
  <si>
    <t xml:space="preserve">M40</t>
  </si>
  <si>
    <t xml:space="preserve">Bio-Tag</t>
  </si>
  <si>
    <t xml:space="preserve">Eternal Bio-Tag</t>
  </si>
  <si>
    <t xml:space="preserve">Zewnętrzny identyfikator QR/NFC</t>
  </si>
  <si>
    <t xml:space="preserve">HW09 Znacznik NFC/Bio-Tag</t>
  </si>
  <si>
    <t xml:space="preserve">Kod: DAT01 Kanoniczny rekord zdrowia
Integracja programowa z: HW09 Znacznik NFC/Bio-Tag
Testy automatyczne i dokumentacja techniczna</t>
  </si>
  <si>
    <t xml:space="preserve">Umowa z partnerem, zakup lub personel: HW09 Znacznik NFC/Bio-Tag
Akceptacja zakresu, testy z użytkownikami</t>
  </si>
  <si>
    <t xml:space="preserve">Identyfikator nie jest implantem; biokompatybilność wymaga dowodu</t>
  </si>
  <si>
    <t xml:space="preserve">M40-MVP</t>
  </si>
  <si>
    <t xml:space="preserve">Zachować bazowe funkcjonalności; rozszerzenie: Pilot partnerskiego Bio-Tag</t>
  </si>
  <si>
    <t xml:space="preserve">Dodać: CTL16, SVC10. Wycofać/zastąpić: brak. Zachować kontrakt danych; test regresji i możliwość powrotu.</t>
  </si>
  <si>
    <t xml:space="preserve">DAT01 Kanoniczny rekord zdrowia
CTL16 Rejestr urządzeń</t>
  </si>
  <si>
    <t xml:space="preserve">HW09 Znacznik NFC/Bio-Tag
SVC10 Badania i walidacja</t>
  </si>
  <si>
    <t xml:space="preserve">Kod: DAT01 Kanoniczny rekord zdrowia; CTL16 Rejestr urządzeń
Integracja programowa z: HW09 Znacznik NFC/Bio-Tag; SVC10 Badania i walidacja
Testy automatyczne i dokumentacja techniczna</t>
  </si>
  <si>
    <t xml:space="preserve">Umowa z partnerem, zakup lub personel: HW09 Znacznik NFC/Bio-Tag; SVC10 Badania i walidacja
Akceptacja zakresu, testy z użytkownikami</t>
  </si>
  <si>
    <t xml:space="preserve">M40-MLP</t>
  </si>
  <si>
    <t xml:space="preserve">Zachować bazowe funkcjonalności; rozszerzenie: Tag sensoryczny OEM/licencja; implant osobno</t>
  </si>
  <si>
    <t xml:space="preserve">Dodać: HW10. Wycofać/zastąpić: brak. Zachować kontrakt danych; test regresji i możliwość powrotu.</t>
  </si>
  <si>
    <t xml:space="preserve">HW10 Czujnik biomarkerów / implant</t>
  </si>
  <si>
    <t xml:space="preserve">Kod: DAT01 Kanoniczny rekord zdrowia; CTL16 Rejestr urządzeń
Integracja programowa z: HW09 Znacznik NFC/Bio-Tag; SVC10 Badania i walidacja
Analiza, specyfikacja i prototyp programowy
Testy automatyczne i dokumentacja techniczna</t>
  </si>
  <si>
    <t xml:space="preserve">Umowa z partnerem, zakup lub personel: HW09 Znacznik NFC/Bio-Tag; SVC10 Badania i walidacja
Program badawczy z partnerem: HW10 Czujnik biomarkerów / implant
Akceptacja zakresu, testy z użytkownikami</t>
  </si>
  <si>
    <t xml:space="preserve">M40-FINAL</t>
  </si>
  <si>
    <t xml:space="preserve">DAT05 Importer i parser dokumentów</t>
  </si>
  <si>
    <t xml:space="preserve">Potwierdzony czujnik; brak założenia pomiaru dowolnego hormonu</t>
  </si>
  <si>
    <t xml:space="preserve">M41-MVP</t>
  </si>
  <si>
    <t xml:space="preserve">Zachować bazowe funkcjonalności; rozszerzenie: Strumień konkretnego biomarkera</t>
  </si>
  <si>
    <t xml:space="preserve">Dodać: HW10, CTL16. Wycofać/zastąpić: brak. Zachować kontrakt danych; test regresji i możliwość powrotu.</t>
  </si>
  <si>
    <t xml:space="preserve">DAT05 Importer i parser dokumentów
CTL16 Rejestr urządzeń</t>
  </si>
  <si>
    <t xml:space="preserve">Kod: DAT05 Importer i parser dokumentów; CTL16 Rejestr urządzeń
Adaptery i integracje: INT04 Adapter bezpośredni OEM
Analiza, specyfikacja i prototyp programowy
Testy automatyczne i dokumentacja techniczna</t>
  </si>
  <si>
    <t xml:space="preserve">Wybór dostawcy, konto, umowa powierzenia lub licencja: INT04 Adapter bezpośredni OEM
Program badawczy z partnerem: HW10 Czujnik biomarkerów / implant
Akceptacja zakresu, testy z użytkownikami</t>
  </si>
  <si>
    <t xml:space="preserve">M41-MLP</t>
  </si>
  <si>
    <t xml:space="preserve">Zachować bazowe funkcjonalności; rozszerzenie: Dodatkowe zwalidowane biomarkery</t>
  </si>
  <si>
    <t xml:space="preserve">Kod: DAT05 Importer i parser dokumentów; CTL16 Rejestr urządzeń
Adaptery i integracje: INT04 Adapter bezpośredni OEM
Integracja programowa z: SVC10 Badania i walidacja
Analiza, specyfikacja i prototyp programowy
Testy automatyczne i dokumentacja techniczna</t>
  </si>
  <si>
    <t xml:space="preserve">Wybór dostawcy, konto, umowa powierzenia lub licencja: INT04 Adapter bezpośredni OEM
Umowa z partnerem, zakup lub personel: SVC10 Badania i walidacja
Program badawczy z partnerem: HW10 Czujnik biomarkerów / implant
Akceptacja zakresu, testy z użytkownikami</t>
  </si>
  <si>
    <t xml:space="preserve">M41-FINAL</t>
  </si>
  <si>
    <t xml:space="preserve">M42</t>
  </si>
  <si>
    <t xml:space="preserve">EEG / interfejs neuro</t>
  </si>
  <si>
    <t xml:space="preserve">Eternal Neural Bridge</t>
  </si>
  <si>
    <t xml:space="preserve">Import sesji EEG/EMG do badania</t>
  </si>
  <si>
    <t xml:space="preserve">HW11 EEG/EMG i interfejs neuro</t>
  </si>
  <si>
    <t xml:space="preserve">Kod: DAT05 Importer i parser dokumentów
Integracja programowa z: HW11 EEG/EMG i interfejs neuro
Testy automatyczne i dokumentacja techniczna</t>
  </si>
  <si>
    <t xml:space="preserve">Umowa z partnerem, zakup lub personel: HW11 EEG/EMG i interfejs neuro
Akceptacja zakresu, testy z użytkownikami</t>
  </si>
  <si>
    <t xml:space="preserve">Jakość sygnału; implant i stymulacja jako odrębne projekty</t>
  </si>
  <si>
    <t xml:space="preserve">M42-MVP</t>
  </si>
  <si>
    <t xml:space="preserve">Zachować bazowe funkcjonalności; rozszerzenie: Nieinwazyjny SDK i program partnera</t>
  </si>
  <si>
    <t xml:space="preserve">Dodać: INT04, SVC10. Wycofać/zastąpić: brak. Zachować kontrakt danych; test regresji i możliwość powrotu.</t>
  </si>
  <si>
    <t xml:space="preserve">HW11 EEG/EMG i interfejs neuro
SVC10 Badania i walidacja</t>
  </si>
  <si>
    <t xml:space="preserve">Kod: DAT05 Importer i parser dokumentów
Adaptery i integracje: INT04 Adapter bezpośredni OEM
Integracja programowa z: HW11 EEG/EMG i interfejs neuro; SVC10 Badania i walidacja
Testy automatyczne i dokumentacja techniczna</t>
  </si>
  <si>
    <t xml:space="preserve">Wybór dostawcy, konto, umowa powierzenia lub licencja: INT04 Adapter bezpośredni OEM
Umowa z partnerem, zakup lub personel: HW11 EEG/EMG i interfejs neuro; SVC10 Badania i walidacja
Akceptacja zakresu, testy z użytkownikami</t>
  </si>
  <si>
    <t xml:space="preserve">M42-MLP</t>
  </si>
  <si>
    <t xml:space="preserve">Zachować bazowe funkcjonalności; rozszerzenie: BCI kliniczne/terapia z partnerem</t>
  </si>
  <si>
    <t xml:space="preserve">HW11 EEG/EMG i interfejs neuro
SVC10 Badania i walidacja
SVC05 Personel kliniczny</t>
  </si>
  <si>
    <t xml:space="preserve">Kod: DAT05 Importer i parser dokumentów
Adaptery i integracje: INT04 Adapter bezpośredni OEM
Integracja programowa z: HW11 EEG/EMG i interfejs neuro; SVC10 Badania i walidacja; SVC05 Personel kliniczny
Testy automatyczne i dokumentacja techniczna</t>
  </si>
  <si>
    <t xml:space="preserve">Wybór dostawcy, konto, umowa powierzenia lub licencja: INT04 Adapter bezpośredni OEM
Umowa z partnerem, zakup lub personel: HW11 EEG/EMG i interfejs neuro; SVC10 Badania i walidacja; SVC05 Personel kliniczny
Akceptacja zakresu, testy z użytkownikami</t>
  </si>
  <si>
    <t xml:space="preserve">M42-FINAL</t>
  </si>
  <si>
    <t xml:space="preserve">M43</t>
  </si>
  <si>
    <t xml:space="preserve">Ścieżka danych z urządzeń połykanych</t>
  </si>
  <si>
    <t xml:space="preserve">Eternal Ingestible Diagnostics</t>
  </si>
  <si>
    <t xml:space="preserve">Partner badania kapsułkowego i raport</t>
  </si>
  <si>
    <t xml:space="preserve">Kod: APP06 Rezerwacje; DAT05 Importer i parser dokumentów
Integracja programowa z: SVC05 Personel kliniczny
Testy automatyczne i dokumentacja techniczna</t>
  </si>
  <si>
    <t xml:space="preserve">Prawa do danych; brak założenia otwartego surowego strumienia</t>
  </si>
  <si>
    <t xml:space="preserve">M43-MVP</t>
  </si>
  <si>
    <t xml:space="preserve">Zachować bazowe funkcjonalności; rozszerzenie: Dane istniejącego systemu OEM</t>
  </si>
  <si>
    <t xml:space="preserve">Dodać: HW12, INT04, DAT07. Wycofać/zastąpić: brak. Zachować kontrakt danych; test regresji i możliwość powrotu.</t>
  </si>
  <si>
    <t xml:space="preserve">APP06 Rezerwacje
DAT05 Importer i parser dokumentów
DAT07 Widok podłużny</t>
  </si>
  <si>
    <t xml:space="preserve">SVC05 Personel kliniczny
HW12 Diagnostyka kapsułkowa</t>
  </si>
  <si>
    <t xml:space="preserve">Kod: APP06 Rezerwacje; DAT05 Importer i parser dokumentów; DAT07 Widok podłużny
Adaptery i integracje: INT04 Adapter bezpośredni OEM
Integracja programowa z: SVC05 Personel kliniczny; HW12 Diagnostyka kapsułkowa
Testy automatyczne i dokumentacja techniczna</t>
  </si>
  <si>
    <t xml:space="preserve">Wybór dostawcy, konto, umowa powierzenia lub licencja: INT04 Adapter bezpośredni OEM
Umowa z partnerem, zakup lub personel: SVC05 Personel kliniczny; HW12 Diagnostyka kapsułkowa
Akceptacja zakresu, testy z użytkownikami</t>
  </si>
  <si>
    <t xml:space="preserve">M43-MLP</t>
  </si>
  <si>
    <t xml:space="preserve">Zachować bazowe funkcjonalności; rozszerzenie: Licencja lub wspólny rozwój</t>
  </si>
  <si>
    <t xml:space="preserve">APP06 Rezerwacje
DAT05 Importer i parser dokumentów
DAT07 Widok podłużny
CTL16 Rejestr urządzeń</t>
  </si>
  <si>
    <t xml:space="preserve">SVC05 Personel kliniczny
HW12 Diagnostyka kapsułkowa
SVC10 Badania i walidacja</t>
  </si>
  <si>
    <t xml:space="preserve">Kod: APP06 Rezerwacje; DAT05 Importer i parser dokumentów; DAT07 Widok podłużny; CTL16 Rejestr urządzeń
Adaptery i integracje: INT04 Adapter bezpośredni OEM
Integracja programowa z: SVC05 Personel kliniczny; HW12 Diagnostyka kapsułkowa; SVC10 Badania i walidacja
Testy automatyczne i dokumentacja techniczna</t>
  </si>
  <si>
    <t xml:space="preserve">Wybór dostawcy, konto, umowa powierzenia lub licencja: INT04 Adapter bezpośredni OEM
Umowa z partnerem, zakup lub personel: SVC05 Personel kliniczny; HW12 Diagnostyka kapsułkowa; SVC10 Badania i walidacja
Akceptacja zakresu, testy z użytkownikami</t>
  </si>
  <si>
    <t xml:space="preserve">M43-FINAL</t>
  </si>
  <si>
    <t xml:space="preserve">AI08 Silnik symulacji</t>
  </si>
  <si>
    <t xml:space="preserve">Możliwy STOP; R&amp;D nie jest gotowym produktem klinicznym</t>
  </si>
  <si>
    <t xml:space="preserve">M44-MVP</t>
  </si>
  <si>
    <t xml:space="preserve">Zachować bazowe funkcjonalności; rozszerzenie: Przedkliniczny eksperyment z partnerem</t>
  </si>
  <si>
    <t xml:space="preserve">Dodać: SVC07, SVC10. Wycofać/zastąpić: brak. Zachować kontrakt danych; test regresji i możliwość powrotu.</t>
  </si>
  <si>
    <t xml:space="preserve">SVC07 Chmurowe laboratorium mokre
SVC10 Badania i walidacja</t>
  </si>
  <si>
    <t xml:space="preserve">Kod: APP16 Nabór i współpraca R&amp;D
Adaptery i integracje: AI08 Silnik symulacji
Integracja programowa z: SVC07 Chmurowe laboratorium mokre; SVC10 Badania i walidacja
Testy automatyczne i dokumentacja techniczna</t>
  </si>
  <si>
    <t xml:space="preserve">Wybór dostawcy, konto, umowa powierzenia lub licencja: AI08 Silnik symulacji
Umowa z partnerem, zakup lub personel: SVC07 Chmurowe laboratorium mokre; SVC10 Badania i walidacja
Akceptacja zakresu, testy z użytkownikami</t>
  </si>
  <si>
    <t xml:space="preserve">M44-MLP</t>
  </si>
  <si>
    <t xml:space="preserve">Zachować bazowe funkcjonalności; rozszerzenie: Terapia autonomiczna dopiero po dowodzie; brak gotowego wykonawcy</t>
  </si>
  <si>
    <t xml:space="preserve">Dodać: RND01. Wycofać/zastąpić: brak. Zachować kontrakt danych; test regresji i możliwość powrotu.</t>
  </si>
  <si>
    <t xml:space="preserve">RND01 Program bez gotowego wykonawcy</t>
  </si>
  <si>
    <t xml:space="preserve">Kod: APP16 Nabór i współpraca R&amp;D
Adaptery i integracje: AI08 Silnik symulacji
Integracja programowa z: SVC07 Chmurowe laboratorium mokre; SVC10 Badania i walidacja
Analiza, specyfikacja i prototyp programowy
Testy automatyczne i dokumentacja techniczna</t>
  </si>
  <si>
    <t xml:space="preserve">Wybór dostawcy, konto, umowa powierzenia lub licencja: AI08 Silnik symulacji
Umowa z partnerem, zakup lub personel: SVC07 Chmurowe laboratorium mokre; SVC10 Badania i walidacja
Program badawczy z partnerem: RND01 Program bez gotowego wykonawcy
Akceptacja zakresu, testy z użytkownikami</t>
  </si>
  <si>
    <t xml:space="preserve">M44-FINAL</t>
  </si>
  <si>
    <t xml:space="preserve">DAT07 Widok podłużny
DAT03 Pochodzenie danych i wersjonowanie
APP10 Trendy i wskaźniki</t>
  </si>
  <si>
    <t xml:space="preserve">Pochodzenie i jakość danych; profil nie symuluje fizjologii</t>
  </si>
  <si>
    <t xml:space="preserve">M45-MVP</t>
  </si>
  <si>
    <t xml:space="preserve">Zachować bazowe funkcjonalności; rozszerzenie: Profil wersjonowany z wielu źródeł</t>
  </si>
  <si>
    <t xml:space="preserve">Dodać: DAT04, DAT08. Wycofać/zastąpić: brak. Zachować kontrakt danych; test regresji i możliwość powrotu.</t>
  </si>
  <si>
    <t xml:space="preserve">DAT07 Widok podłużny
DAT03 Pochodzenie danych i wersjonowanie
APP10 Trendy i wskaźniki
DAT04 Deduplikacja i jakość danych
DAT08 Pakiet udostępnienia</t>
  </si>
  <si>
    <t xml:space="preserve">Kod: DAT07 Widok podłużny; DAT03 Pochodzenie danych i wersjonowanie; APP10 Trendy i wskaźniki; DAT04 Deduplikacja i jakość danych; DAT08 Pakiet udostępnienia
Testy automatyczne i dokumentacja techniczna</t>
  </si>
  <si>
    <t xml:space="preserve">M45-MLP</t>
  </si>
  <si>
    <t xml:space="preserve">Zachować bazowe funkcjonalności; rozszerzenie: Przenośny profil całego ekosystemu</t>
  </si>
  <si>
    <t xml:space="preserve">Dodać: CTL15. Wycofać/zastąpić: brak. Zachować kontrakt danych; test regresji i możliwość powrotu.</t>
  </si>
  <si>
    <t xml:space="preserve">DAT07 Widok podłużny
DAT03 Pochodzenie danych i wersjonowanie
APP10 Trendy i wskaźniki
DAT04 Deduplikacja i jakość danych
DAT08 Pakiet udostępnienia
CTL15 Retencja i eksport</t>
  </si>
  <si>
    <t xml:space="preserve">Kod: DAT07 Widok podłużny; DAT03 Pochodzenie danych i wersjonowanie; APP10 Trendy i wskaźniki; DAT04 Deduplikacja i jakość danych; DAT08 Pakiet udostępnienia; CTL15 Retencja i eksport
Testy automatyczne i dokumentacja techniczna</t>
  </si>
  <si>
    <t xml:space="preserve">M45-FINAL</t>
  </si>
  <si>
    <t xml:space="preserve">APP10 Trendy i wskaźniki
DAT07 Widok podłużny</t>
  </si>
  <si>
    <t xml:space="preserve">Kalibracja i niepewność; bez nieuprawnionej diagnozy</t>
  </si>
  <si>
    <t xml:space="preserve">M46-MVP</t>
  </si>
  <si>
    <t xml:space="preserve">Zachować bazowe funkcjonalności; rozszerzenie: Scenariusze „co jeśli" w wellness z założeniami</t>
  </si>
  <si>
    <t xml:space="preserve">Dodać: AI08, APP11. Wycofać/zastąpić: brak. Zachować kontrakt danych; test regresji i możliwość powrotu.</t>
  </si>
  <si>
    <t xml:space="preserve">APP10 Trendy i wskaźniki
DAT07 Widok podłużny
APP11 Cele i plany</t>
  </si>
  <si>
    <t xml:space="preserve">Kod: APP10 Trendy i wskaźniki; DAT07 Widok podłużny; APP11 Cele i plany
Adaptery i integracje: AI08 Silnik symulacji
Testy automatyczne i dokumentacja techniczna</t>
  </si>
  <si>
    <t xml:space="preserve">M46-MLP</t>
  </si>
  <si>
    <t xml:space="preserve">Zachować bazowe funkcjonalności; rozszerzenie: Wiele wymiennych modeli wellness</t>
  </si>
  <si>
    <t xml:space="preserve">Dodać: CTL06, CTL13. Wycofać/zastąpić: brak. Zachować kontrakt danych; test regresji i możliwość powrotu.</t>
  </si>
  <si>
    <t xml:space="preserve">APP10 Trendy i wskaźniki
DAT07 Widok podłużny
APP11 Cele i plany
CTL06 Router dostawców
CTL13 Rejestr modeli i ewaluacja</t>
  </si>
  <si>
    <t xml:space="preserve">Kod: APP10 Trendy i wskaźniki; DAT07 Widok podłużny; APP11 Cele i plany; CTL06 Router dostawców; CTL13 Rejestr modeli i ewaluacja
Adaptery i integracje: AI08 Silnik symulacji
Testy automatyczne i dokumentacja techniczna</t>
  </si>
  <si>
    <t xml:space="preserve">M46-FINAL</t>
  </si>
  <si>
    <t xml:space="preserve">APP15 Katalog technologii</t>
  </si>
  <si>
    <t xml:space="preserve">Dane i dowód dla konkretnego modelu; symulacja nie jest testem laboratoryjnym</t>
  </si>
  <si>
    <t xml:space="preserve">M47-MVP</t>
  </si>
  <si>
    <t xml:space="preserve">Zachować bazowe funkcjonalności; rozszerzenie: Badanie jednego modelu narządu/choroby</t>
  </si>
  <si>
    <t xml:space="preserve">Dodać: SVC10, CTL13. Wycofać/zastąpić: brak. Zachować kontrakt danych; test regresji i możliwość powrotu.</t>
  </si>
  <si>
    <t xml:space="preserve">APP15 Katalog technologii
CTL13 Rejestr modeli i ewaluacja</t>
  </si>
  <si>
    <t xml:space="preserve">Kod: APP15 Katalog technologii; CTL13 Rejestr modeli i ewaluacja
Adaptery i integracje: AI08 Silnik symulacji
Integracja programowa z: SVC10 Badania i walidacja
Testy automatyczne i dokumentacja techniczna</t>
  </si>
  <si>
    <t xml:space="preserve">Wybór dostawcy, konto, umowa powierzenia lub licencja: AI08 Silnik symulacji
Umowa z partnerem, zakup lub personel: SVC10 Badania i walidacja
Akceptacja zakresu, testy z użytkownikami</t>
  </si>
  <si>
    <t xml:space="preserve">M47-MLP</t>
  </si>
  <si>
    <t xml:space="preserve">Zachować bazowe funkcjonalności; rozszerzenie: Modele specjalistyczne po walidacji</t>
  </si>
  <si>
    <t xml:space="preserve">SVC10 Badania i walidacja
SVC05 Personel kliniczny</t>
  </si>
  <si>
    <t xml:space="preserve">Kod: APP15 Katalog technologii; CTL13 Rejestr modeli i ewaluacja
Adaptery i integracje: AI08 Silnik symulacji
Integracja programowa z: SVC10 Badania i walidacja; SVC05 Personel kliniczny
Kod i dokumentacja techniczna dla: AI07 Model wskazania klinicznego
Testy automatyczne i dokumentacja techniczna</t>
  </si>
  <si>
    <t xml:space="preserve">Wybór dostawcy, konto, umowa powierzenia lub licencja: AI08 Silnik symulacji
Umowa z partnerem, zakup lub personel: SVC10 Badania i walidacja; SVC05 Personel kliniczny
Walidacja kliniczna, QMS i dopuszczenie: AI07 Model wskazania klinicznego
Akceptacja zakresu, testy z użytkownikami</t>
  </si>
  <si>
    <t xml:space="preserve">M47-FINAL</t>
  </si>
  <si>
    <t xml:space="preserve">M48</t>
  </si>
  <si>
    <t xml:space="preserve">Zwalidowany bliźniak kliniczny</t>
  </si>
  <si>
    <t xml:space="preserve">Clinical Twin</t>
  </si>
  <si>
    <t xml:space="preserve">Wskazanie i protokół walidacji</t>
  </si>
  <si>
    <t xml:space="preserve">Kod: APP16 Nabór i współpraca R&amp;D
Integracja programowa z: SVC10 Badania i walidacja
Testy automatyczne i dokumentacja techniczna</t>
  </si>
  <si>
    <t xml:space="preserve">Umowa z partnerem, zakup lub personel: SVC10 Badania i walidacja
Akceptacja zakresu, testy z użytkownikami</t>
  </si>
  <si>
    <t xml:space="preserve">Dowód kliniczny, QMS i nadzór; model może pozostać partnerski</t>
  </si>
  <si>
    <t xml:space="preserve">M48-MVP</t>
  </si>
  <si>
    <t xml:space="preserve">Zachować bazowe funkcjonalności; rozszerzenie: Kontrolowane badanie modelu partnera</t>
  </si>
  <si>
    <t xml:space="preserve">Dodać: AI07, AI08. Wycofać/zastąpić: brak. Zachować kontrakt danych; test regresji i możliwość powrotu.</t>
  </si>
  <si>
    <t xml:space="preserve">Kod: APP16 Nabór i współpraca R&amp;D
Adaptery i integracje: AI08 Silnik symulacji
Integracja programowa z: SVC10 Badania i walidacja
Kod i dokumentacja techniczna dla: AI07 Model wskazania klinicznego
Testy automatyczne i dokumentacja techniczna</t>
  </si>
  <si>
    <t xml:space="preserve">Wybór dostawcy, konto, umowa powierzenia lub licencja: AI08 Silnik symulacji
Umowa z partnerem, zakup lub personel: SVC10 Badania i walidacja
Walidacja kliniczna, QMS i dopuszczenie: AI07 Model wskazania klinicznego
Akceptacja zakresu, testy z użytkownikami</t>
  </si>
  <si>
    <t xml:space="preserve">M48-MLP</t>
  </si>
  <si>
    <t xml:space="preserve">Zachować bazowe funkcjonalności; rozszerzenie: Bliźniak kliniczny wspierający określoną decyzję</t>
  </si>
  <si>
    <t xml:space="preserve">Dodać: CTL12, SVC05. Wycofać/zastąpić: brak. Zachować kontrakt danych; test regresji i możliwość powrotu.</t>
  </si>
  <si>
    <t xml:space="preserve">AI08 Silnik symulacji
CTL12 Jakość i dokumentacja wydania</t>
  </si>
  <si>
    <t xml:space="preserve">Kod: APP16 Nabór i współpraca R&amp;D
Adaptery i integracje: AI08 Silnik symulacji
Integracja programowa z: SVC10 Badania i walidacja; SVC05 Personel kliniczny
Kod i dokumentacja techniczna dla: AI07 Model wskazania klinicznego
Narzędzia i szablony dokumentów dla: CTL12 Jakość i dokumentacja wydania
Testy automatyczne i dokumentacja techniczna</t>
  </si>
  <si>
    <t xml:space="preserve">Wybór dostawcy, konto, umowa powierzenia lub licencja: AI08 Silnik symulacji
Umowa z partnerem, zakup lub personel: SVC10 Badania i walidacja; SVC05 Personel kliniczny
Walidacja kliniczna, QMS i dopuszczenie: AI07 Model wskazania klinicznego
Prowadzenie procesu: CTL12 Jakość i dokumentacja wydania
Akceptacja zakresu, testy z użytkownikami</t>
  </si>
  <si>
    <t xml:space="preserve">M48-FINAL</t>
  </si>
  <si>
    <t xml:space="preserve">DAT10 Archiwum długoterminowe</t>
  </si>
  <si>
    <t xml:space="preserve">Upoważnienia, przenośność i finansowanie retencji</t>
  </si>
  <si>
    <t xml:space="preserve">M49-MVP</t>
  </si>
  <si>
    <t xml:space="preserve">Zachować bazowe funkcjonalności; rozszerzenie: Panel upoważnień do archiwum</t>
  </si>
  <si>
    <t xml:space="preserve">Dodać: APP17, SYS05. Wycofać/zastąpić: brak. Zachować kontrakt danych; test regresji i możliwość powrotu.</t>
  </si>
  <si>
    <t xml:space="preserve">DAT10 Archiwum długoterminowe
APP17 Rodzina i opiekunowie</t>
  </si>
  <si>
    <t xml:space="preserve">INF03 Magazyn plików
SYS05 Podpis i weryfikacja tożsamości</t>
  </si>
  <si>
    <t xml:space="preserve">Kod: DAT10 Archiwum długoterminowe; APP17 Rodzina i opiekunowie
Adaptery i integracje: INF03 Magazyn plików; SYS05 Podpis i weryfikacja tożsamości
Testy automatyczne i dokumentacja techniczna</t>
  </si>
  <si>
    <t xml:space="preserve">Wybór dostawcy, konto, umowa powierzenia lub licencja: INF03 Magazyn plików; SYS05 Podpis i weryfikacja tożsamości
Akceptacja zakresu, testy z użytkownikami</t>
  </si>
  <si>
    <t xml:space="preserve">M49-MLP</t>
  </si>
  <si>
    <t xml:space="preserve">Zachować bazowe funkcjonalności; rozszerzenie: Długoterminowy dostęp i następstwo</t>
  </si>
  <si>
    <t xml:space="preserve">DAT10 Archiwum długoterminowe
APP17 Rodzina i opiekunowie
CTL15 Retencja i eksport</t>
  </si>
  <si>
    <t xml:space="preserve">Kod: DAT10 Archiwum długoterminowe; APP17 Rodzina i opiekunowie; CTL15 Retencja i eksport
Adaptery i integracje: INF03 Magazyn plików; SYS05 Podpis i weryfikacja tożsamości
Testy automatyczne i dokumentacja techniczna</t>
  </si>
  <si>
    <t xml:space="preserve">M49-FINAL</t>
  </si>
  <si>
    <t xml:space="preserve">M68</t>
  </si>
  <si>
    <t xml:space="preserve">Bliźniak populacyjny / federacyjny</t>
  </si>
  <si>
    <t xml:space="preserve">Eternal Research Twin</t>
  </si>
  <si>
    <t xml:space="preserve">brak MVP w roadmapie</t>
  </si>
  <si>
    <t xml:space="preserve">Protokół badawczy i dozwolony zbiór</t>
  </si>
  <si>
    <t xml:space="preserve">DAT09 Kohorty i środowisko badawcze</t>
  </si>
  <si>
    <t xml:space="preserve">Kod: DAT09 Kohorty i środowisko badawcze
Integracja programowa z: SVC10 Badania i walidacja
Testy automatyczne i dokumentacja techniczna</t>
  </si>
  <si>
    <t xml:space="preserve">Cel badania, jakość i prywatność; federacja nie oznacza anonimowości</t>
  </si>
  <si>
    <t xml:space="preserve">M68-MVP</t>
  </si>
  <si>
    <t xml:space="preserve">Zachować bazowe funkcjonalności; rozszerzenie: Pilotaż kohortowy/federacyjny</t>
  </si>
  <si>
    <t xml:space="preserve">Dodać: AI09. Wycofać/zastąpić: brak. Zachować kontrakt danych; test regresji i możliwość powrotu.</t>
  </si>
  <si>
    <t xml:space="preserve">AI09 Uczenie federacyjne</t>
  </si>
  <si>
    <t xml:space="preserve">Kod: DAT09 Kohorty i środowisko badawcze
Integracja programowa z: SVC10 Badania i walidacja
Narzędzia i szablony dokumentów dla: AI09 Uczenie federacyjne
Testy automatyczne i dokumentacja techniczna</t>
  </si>
  <si>
    <t xml:space="preserve">Umowa z partnerem, zakup lub personel: SVC10 Badania i walidacja
Prowadzenie procesu: AI09 Uczenie federacyjne
Akceptacja zakresu, testy z użytkownikami</t>
  </si>
  <si>
    <t xml:space="preserve">M68-MLP</t>
  </si>
  <si>
    <t xml:space="preserve">Zachować bazowe funkcjonalności; rozszerzenie: Bliźniak populacyjny i kontrolowane użycie wtórne</t>
  </si>
  <si>
    <t xml:space="preserve">Dodać: AI08, CTL13. Wycofać/zastąpić: brak. Zachować kontrakt danych; test regresji i możliwość powrotu.</t>
  </si>
  <si>
    <t xml:space="preserve">DAT09 Kohorty i środowisko badawcze
CTL13 Rejestr modeli i ewaluacja</t>
  </si>
  <si>
    <t xml:space="preserve">AI08 Silnik symulacji
AI09 Uczenie federacyjne</t>
  </si>
  <si>
    <t xml:space="preserve">Kod: DAT09 Kohorty i środowisko badawcze; CTL13 Rejestr modeli i ewaluacja
Adaptery i integracje: AI08 Silnik symulacji
Integracja programowa z: SVC10 Badania i walidacja
Narzędzia i szablony dokumentów dla: AI09 Uczenie federacyjne
Testy automatyczne i dokumentacja techniczna</t>
  </si>
  <si>
    <t xml:space="preserve">Wybór dostawcy, konto, umowa powierzenia lub licencja: AI08 Silnik symulacji
Umowa z partnerem, zakup lub personel: SVC10 Badania i walidacja
Prowadzenie procesu: AI09 Uczenie federacyjne
Akceptacja zakresu, testy z użytkownikami</t>
  </si>
  <si>
    <t xml:space="preserve">M68-FINAL</t>
  </si>
  <si>
    <t xml:space="preserve">APP12 Treści edukacyjne i audio
APP13 Społeczność</t>
  </si>
  <si>
    <t xml:space="preserve">Moderacja, jakość treści i retencja</t>
  </si>
  <si>
    <t xml:space="preserve">M50-MVP</t>
  </si>
  <si>
    <t xml:space="preserve">Zachować bazowe funkcjonalności; rozszerzenie: Wyzwania i wydarzenia</t>
  </si>
  <si>
    <t xml:space="preserve">Dodać: APP11, SYS04. Wycofać/zastąpić: brak. Zachować kontrakt danych; test regresji i możliwość powrotu.</t>
  </si>
  <si>
    <t xml:space="preserve">APP12 Treści edukacyjne i audio
APP13 Społeczność
APP11 Cele i plany</t>
  </si>
  <si>
    <t xml:space="preserve">SYS04 Płatności</t>
  </si>
  <si>
    <t xml:space="preserve">Kod: APP12 Treści edukacyjne i audio; APP13 Społeczność; APP11 Cele i plany
Adaptery i integracje: SYS04 Płatności
Testy automatyczne i dokumentacja techniczna</t>
  </si>
  <si>
    <t xml:space="preserve">Wybór dostawcy, konto, umowa powierzenia lub licencja: SYS04 Płatności
Akceptacja zakresu, testy z użytkownikami</t>
  </si>
  <si>
    <t xml:space="preserve">M50-MLP</t>
  </si>
  <si>
    <t xml:space="preserve">Zachować bazowe funkcjonalności; rozszerzenie: Sieć społeczności i programów</t>
  </si>
  <si>
    <t xml:space="preserve">Dodać: CTL10. Wycofać/zastąpić: brak. Zachować kontrakt danych; test regresji i możliwość powrotu.</t>
  </si>
  <si>
    <t xml:space="preserve">APP12 Treści edukacyjne i audio
APP13 Społeczność
APP11 Cele i plany
CTL10 Rozliczenie partnera</t>
  </si>
  <si>
    <t xml:space="preserve">Kod: APP12 Treści edukacyjne i audio; APP13 Społeczność; APP11 Cele i plany; CTL10 Rozliczenie partnera
Adaptery i integracje: SYS04 Płatności
Testy automatyczne i dokumentacja techniczna</t>
  </si>
  <si>
    <t xml:space="preserve">M50-FINAL</t>
  </si>
  <si>
    <t xml:space="preserve">APP14 Wizualizacja 3D/XR
APP12 Treści edukacyjne i audio</t>
  </si>
  <si>
    <t xml:space="preserve">Użyteczność; własne gogle zbędne na start</t>
  </si>
  <si>
    <t xml:space="preserve">M51-MVP</t>
  </si>
  <si>
    <t xml:space="preserve">Zachować bazowe funkcjonalności; rozszerzenie: XR na gotowym sprzęcie</t>
  </si>
  <si>
    <t xml:space="preserve">M51-MLP</t>
  </si>
  <si>
    <t xml:space="preserve">Zachować bazowe funkcjonalności; rozszerzenie: Wieloplatformowe przestrzenie edukacji</t>
  </si>
  <si>
    <t xml:space="preserve">APP14 Wizualizacja 3D/XR
APP12 Treści edukacyjne i audio
DAT08 Pakiet udostępnienia</t>
  </si>
  <si>
    <t xml:space="preserve">Kod: APP14 Wizualizacja 3D/XR; APP12 Treści edukacyjne i audio; DAT08 Pakiet udostępnienia
Testy automatyczne i dokumentacja techniczna</t>
  </si>
  <si>
    <t xml:space="preserve">M51-FINAL</t>
  </si>
  <si>
    <t xml:space="preserve">M52</t>
  </si>
  <si>
    <t xml:space="preserve">Terapia VR / obecność klinicysty</t>
  </si>
  <si>
    <t xml:space="preserve">Matrix Therapy / Presence</t>
  </si>
  <si>
    <t xml:space="preserve">Zdalna obecność specjalisty</t>
  </si>
  <si>
    <t xml:space="preserve">Adaptery i integracje: APP07 Wideokonsultacja
Integracja programowa z: SVC05 Personel kliniczny
Testy automatyczne i dokumentacja techniczna</t>
  </si>
  <si>
    <t xml:space="preserve">Skuteczność i kwalifikacja terapii; holografia nie jest warunkiem</t>
  </si>
  <si>
    <t xml:space="preserve">M52-MVP</t>
  </si>
  <si>
    <t xml:space="preserve">Zachować bazowe funkcjonalności; rozszerzenie: Program VR partnera</t>
  </si>
  <si>
    <t xml:space="preserve">Dodać: APP14, SVC06. Wycofać/zastąpić: brak. Zachować kontrakt danych; test regresji i możliwość powrotu.</t>
  </si>
  <si>
    <t xml:space="preserve">APP14 Wizualizacja 3D/XR</t>
  </si>
  <si>
    <t xml:space="preserve">Kod: APP14 Wizualizacja 3D/XR
Adaptery i integracje: APP07 Wideokonsultacja
Integracja programowa z: SVC05 Personel kliniczny; SVC06 Partner terapii
Testy automatyczne i dokumentacja techniczna</t>
  </si>
  <si>
    <t xml:space="preserve">M52-MLP</t>
  </si>
  <si>
    <t xml:space="preserve">Zachować bazowe funkcjonalności; rozszerzenie: Zweryfikowana terapia VR i dokumentacja</t>
  </si>
  <si>
    <t xml:space="preserve">APP07 Wideokonsultacja
INT18 Adapter EHR/HIS</t>
  </si>
  <si>
    <t xml:space="preserve">Kod: APP14 Wizualizacja 3D/XR
Adaptery i integracje: APP07 Wideokonsultacja; INT18 Adapter EHR/HIS
Integracja programowa z: SVC05 Personel kliniczny; SVC06 Partner terapii
Testy automatyczne i dokumentacja techniczna</t>
  </si>
  <si>
    <t xml:space="preserve">Wybór dostawcy, konto, umowa powierzenia lub licencja: APP07 Wideokonsultacja; INT18 Adapter EHR/HIS
Umowa z partnerem, zakup lub personel: SVC05 Personel kliniczny; SVC06 Partner terapii
Akceptacja zakresu, testy z użytkownikami</t>
  </si>
  <si>
    <t xml:space="preserve">M52-FINAL</t>
  </si>
  <si>
    <t xml:space="preserve">APP04 Formularze i wywiad
APP16 Nabór i współpraca R&amp;D</t>
  </si>
  <si>
    <t xml:space="preserve">Prawa IP i efekt pilotaży</t>
  </si>
  <si>
    <t xml:space="preserve">M53-MVP</t>
  </si>
  <si>
    <t xml:space="preserve">Zachować bazowe funkcjonalności; rozszerzenie: Mentoring i pilotaże</t>
  </si>
  <si>
    <t xml:space="preserve">SYS05 Podpis i weryfikacja tożsamości</t>
  </si>
  <si>
    <t xml:space="preserve">Kod: APP04 Formularze i wywiad; APP16 Nabór i współpraca R&amp;D
Adaptery i integracje: SYS05 Podpis i weryfikacja tożsamości
Testy automatyczne i dokumentacja techniczna</t>
  </si>
  <si>
    <t xml:space="preserve">Wybór dostawcy, konto, umowa powierzenia lub licencja: SYS05 Podpis i weryfikacja tożsamości
Akceptacja zakresu, testy z użytkownikami</t>
  </si>
  <si>
    <t xml:space="preserve">M53-MLP</t>
  </si>
  <si>
    <t xml:space="preserve">Zachować bazowe funkcjonalności; rozszerzenie: Portfel projektów i licencji</t>
  </si>
  <si>
    <t xml:space="preserve">Dodać: APP15, CTL10. Wycofać/zastąpić: brak. Zachować kontrakt danych; test regresji i możliwość powrotu.</t>
  </si>
  <si>
    <t xml:space="preserve">APP04 Formularze i wywiad
APP16 Nabór i współpraca R&amp;D
APP15 Katalog technologii
CTL10 Rozliczenie partnera</t>
  </si>
  <si>
    <t xml:space="preserve">Kod: APP04 Formularze i wywiad; APP16 Nabór i współpraca R&amp;D; APP15 Katalog technologii; CTL10 Rozliczenie partnera
Adaptery i integracje: SYS05 Podpis i weryfikacja tożsamości
Testy automatyczne i dokumentacja techniczna</t>
  </si>
  <si>
    <t xml:space="preserve">M53-FINAL</t>
  </si>
  <si>
    <t xml:space="preserve">Warunki konkursu; grant nie jest przychodem gwarantowanym</t>
  </si>
  <si>
    <t xml:space="preserve">M54-MVP</t>
  </si>
  <si>
    <t xml:space="preserve">Zachować bazowe funkcjonalności; rozszerzenie: Obieg budżetu i konsorcjum</t>
  </si>
  <si>
    <t xml:space="preserve">Kod: APP16 Nabór i współpraca R&amp;D
Adaptery i integracje: INF03 Magazyn plików; SYS05 Podpis i weryfikacja tożsamości
Testy automatyczne i dokumentacja techniczna</t>
  </si>
  <si>
    <t xml:space="preserve">M54-MLP</t>
  </si>
  <si>
    <t xml:space="preserve">Zachować bazowe funkcjonalności; rozszerzenie: Koordynacja programów badawczych</t>
  </si>
  <si>
    <t xml:space="preserve">Dodać: CTL10, SVC10. Wycofać/zastąpić: brak. Zachować kontrakt danych; test regresji i możliwość powrotu.</t>
  </si>
  <si>
    <t xml:space="preserve">APP16 Nabór i współpraca R&amp;D
CTL10 Rozliczenie partnera</t>
  </si>
  <si>
    <t xml:space="preserve">Kod: APP16 Nabór i współpraca R&amp;D; CTL10 Rozliczenie partnera
Adaptery i integracje: INF03 Magazyn plików; SYS05 Podpis i weryfikacja tożsamości
Integracja programowa z: SVC10 Badania i walidacja
Testy automatyczne i dokumentacja techniczna</t>
  </si>
  <si>
    <t xml:space="preserve">Wybór dostawcy, konto, umowa powierzenia lub licencja: INF03 Magazyn plików; SYS05 Podpis i weryfikacja tożsamości
Umowa z partnerem, zakup lub personel: SVC10 Badania i walidacja
Akceptacja zakresu, testy z użytkownikami</t>
  </si>
  <si>
    <t xml:space="preserve">M54-FINAL</t>
  </si>
  <si>
    <t xml:space="preserve">APP15 Katalog technologii
CTL05 Katalog dostawców</t>
  </si>
  <si>
    <t xml:space="preserve">Sprawdzone prawa do IP/API przed dopuszczeniem</t>
  </si>
  <si>
    <t xml:space="preserve">M55-MVP</t>
  </si>
  <si>
    <t xml:space="preserve">Zachować bazowe funkcjonalności; rozszerzenie: Sandbox i transakcje</t>
  </si>
  <si>
    <t xml:space="preserve">Dodać: CTL07, SYS04. Wycofać/zastąpić: brak. Zachować kontrakt danych; test regresji i możliwość powrotu.</t>
  </si>
  <si>
    <t xml:space="preserve">APP15 Katalog technologii
CTL05 Katalog dostawców
CTL07 Fabryka adapterów</t>
  </si>
  <si>
    <t xml:space="preserve">Kod: APP15 Katalog technologii; CTL05 Katalog dostawców; CTL07 Fabryka adapterów
Adaptery i integracje: SYS04 Płatności
Testy automatyczne i dokumentacja techniczna</t>
  </si>
  <si>
    <t xml:space="preserve">M55-MLP</t>
  </si>
  <si>
    <t xml:space="preserve">Zachować bazowe funkcjonalności; rozszerzenie: Licencjonowanie technologii</t>
  </si>
  <si>
    <t xml:space="preserve">Dodać: CTL08, CTL10. Wycofać/zastąpić: brak. Zachować kontrakt danych; test regresji i możliwość powrotu.</t>
  </si>
  <si>
    <t xml:space="preserve">APP15 Katalog technologii
CTL05 Katalog dostawców
CTL07 Fabryka adapterów
CTL08 Kompozytor produktów
CTL10 Rozliczenie partnera</t>
  </si>
  <si>
    <t xml:space="preserve">Kod: APP15 Katalog technologii; CTL05 Katalog dostawców; CTL07 Fabryka adapterów; CTL08 Kompozytor produktów; CTL10 Rozliczenie partnera
Adaptery i integracje: SYS04 Płatności
Testy automatyczne i dokumentacja techniczna</t>
  </si>
  <si>
    <t xml:space="preserve">M55-FINAL</t>
  </si>
  <si>
    <t xml:space="preserve">CTL07 Fabryka adapterów
CTL20 Rejestr funkcji</t>
  </si>
  <si>
    <t xml:space="preserve">Kompatybilność techniczna nie jest certyfikacją medyczną</t>
  </si>
  <si>
    <t xml:space="preserve">M56-MVP</t>
  </si>
  <si>
    <t xml:space="preserve">Zachować bazowe funkcjonalności; rozszerzenie: Automatyczne testy kontraktów</t>
  </si>
  <si>
    <t xml:space="preserve">Dodać: INF09. Wycofać/zastąpić: brak. Zachować kontrakt danych; test regresji i możliwość powrotu.</t>
  </si>
  <si>
    <t xml:space="preserve">INF09 CI/CD i artefakty</t>
  </si>
  <si>
    <t xml:space="preserve">Kod: CTL07 Fabryka adapterów; CTL20 Rejestr funkcji
Adaptery i integracje: INF09 CI/CD i artefakty
Testy automatyczne i dokumentacja techniczna</t>
  </si>
  <si>
    <t xml:space="preserve">Wybór dostawcy, konto, umowa powierzenia lub licencja: INF09 CI/CD i artefakty
Akceptacja zakresu, testy z użytkownikami</t>
  </si>
  <si>
    <t xml:space="preserve">M56-MLP</t>
  </si>
  <si>
    <t xml:space="preserve">Zachować bazowe funkcjonalności; rozszerzenie: Eternal Compatible i monitoring</t>
  </si>
  <si>
    <t xml:space="preserve">Dodać: CTL19. Wycofać/zastąpić: brak. Zachować kontrakt danych; test regresji i możliwość powrotu.</t>
  </si>
  <si>
    <t xml:space="preserve">CTL07 Fabryka adapterów
CTL20 Rejestr funkcji
CTL19 Budżet i SLA komponentu</t>
  </si>
  <si>
    <t xml:space="preserve">Kod: CTL07 Fabryka adapterów; CTL20 Rejestr funkcji; CTL19 Budżet i SLA komponentu
Adaptery i integracje: INF09 CI/CD i artefakty
Testy automatyczne i dokumentacja techniczna</t>
  </si>
  <si>
    <t xml:space="preserve">M56-FINAL</t>
  </si>
  <si>
    <t xml:space="preserve">CTL05 Katalog dostawców
APP15 Katalog technologii</t>
  </si>
  <si>
    <t xml:space="preserve">Ten sam kontrakt funkcjonalny; dostęp do usługi nie daje praw do IP</t>
  </si>
  <si>
    <t xml:space="preserve">M57-MVP</t>
  </si>
  <si>
    <t xml:space="preserve">Zachować bazowe funkcjonalności; rozszerzenie: Kierowanie oraz pomiar jakości i kosztów</t>
  </si>
  <si>
    <t xml:space="preserve">Dodać: CTL06, CTL13, CTL19. Wycofać/zastąpić: brak. Zachować kontrakt danych; test regresji i możliwość powrotu.</t>
  </si>
  <si>
    <t xml:space="preserve">CTL05 Katalog dostawców
APP15 Katalog technologii
CTL06 Router dostawców
CTL13 Rejestr modeli i ewaluacja
CTL19 Budżet i SLA komponentu</t>
  </si>
  <si>
    <t xml:space="preserve">Kod: CTL05 Katalog dostawców; APP15 Katalog technologii; CTL06 Router dostawców; CTL13 Rejestr modeli i ewaluacja; CTL19 Budżet i SLA komponentu
Testy automatyczne i dokumentacja techniczna</t>
  </si>
  <si>
    <t xml:space="preserve">M57-MLP</t>
  </si>
  <si>
    <t xml:space="preserve">Zachować bazowe funkcjonalności; rozszerzenie: Marketplace wymiennych usług i modeli</t>
  </si>
  <si>
    <t xml:space="preserve">CTL05 Katalog dostawców
APP15 Katalog technologii
CTL06 Router dostawców
CTL13 Rejestr modeli i ewaluacja
CTL19 Budżet i SLA komponentu
CTL08 Kompozytor produktów
CTL10 Rozliczenie partnera</t>
  </si>
  <si>
    <t xml:space="preserve">Kod: CTL05 Katalog dostawców; APP15 Katalog technologii; CTL06 Router dostawców; CTL13 Rejestr modeli i ewaluacja; CTL19 Budżet i SLA komponentu; CTL08 Kompozytor produktów; CTL10 Rozliczenie partnera
Testy automatyczne i dokumentacja techniczna</t>
  </si>
  <si>
    <t xml:space="preserve">M57-FINAL</t>
  </si>
  <si>
    <t xml:space="preserve">Produkty i mikroprodukty na etapach (arkusz 44), z podziałem na projekty</t>
  </si>
  <si>
    <t xml:space="preserve">Konfiguracja</t>
  </si>
  <si>
    <t xml:space="preserve">Produkt / mikroprodukt</t>
  </si>
  <si>
    <t xml:space="preserve">Typ</t>
  </si>
  <si>
    <t xml:space="preserve">Odbiorca / płatnik</t>
  </si>
  <si>
    <t xml:space="preserve">Jak wygląda wersja: funkcjonalności i wynik</t>
  </si>
  <si>
    <t xml:space="preserve">Moduły w składzie</t>
  </si>
  <si>
    <t xml:space="preserve">Monetyzacja etapu</t>
  </si>
  <si>
    <t xml:space="preserve">Decyzja wykonawcza</t>
  </si>
  <si>
    <t xml:space="preserve">Warunek rozwoju lub zatrzymania</t>
  </si>
  <si>
    <t xml:space="preserve">MP01-FINAL</t>
  </si>
  <si>
    <t xml:space="preserve">Eternal Scribe</t>
  </si>
  <si>
    <t xml:space="preserve">Mikroprodukt / pakiet</t>
  </si>
  <si>
    <t xml:space="preserve">Kliniki/lekarze</t>
  </si>
  <si>
    <t xml:space="preserve">Zachować wcześniejsze funkcjonalności; rozszerzenia:
M26: Wiele specjalności i wybór silnika</t>
  </si>
  <si>
    <t xml:space="preserve">Licencja/API i pakiety enterprise</t>
  </si>
  <si>
    <t xml:space="preserve">Zachować/połączyć/zamienić komponenty według arkusza 45</t>
  </si>
  <si>
    <t xml:space="preserve">M26: Zgoda, błąd kliniczny, czas korekty; bez automatycznego podpisu</t>
  </si>
  <si>
    <t xml:space="preserve">MP01-MLP</t>
  </si>
  <si>
    <t xml:space="preserve">Zachować wcześniejsze funkcjonalności; rozszerzenia:
M26: Strukturalna notatka i HIS</t>
  </si>
  <si>
    <t xml:space="preserve">Stanowisko + użycie / organizacja / opłata za członka miesięcznie, stosownie do wyniku</t>
  </si>
  <si>
    <t xml:space="preserve">MP01-MVP</t>
  </si>
  <si>
    <t xml:space="preserve">M26: Transkrypcja i szkic do zatwierdzenia</t>
  </si>
  <si>
    <t xml:space="preserve">Pilotaż B2B lub samodzielny mały pakiet</t>
  </si>
  <si>
    <t xml:space="preserve">Minimum: gotowa usługa, OEM lub oprogramowanie; uruchomić tylko wybrany zakres</t>
  </si>
  <si>
    <t xml:space="preserve">MP02-FINAL</t>
  </si>
  <si>
    <t xml:space="preserve">Medical Snapshot</t>
  </si>
  <si>
    <t xml:space="preserve">Pacjent/klinika</t>
  </si>
  <si>
    <t xml:space="preserve">Zachować wcześniejsze funkcjonalności; rozszerzenia:
M24: Zestawienie w wielu systemach szpitalnych</t>
  </si>
  <si>
    <t xml:space="preserve">M24: Sprawdzalność faktu i akceptacja klinicysty</t>
  </si>
  <si>
    <t xml:space="preserve">MP02-MLP</t>
  </si>
  <si>
    <t xml:space="preserve">Zachować wcześniejsze funkcjonalności; rozszerzenia:
M24: Szablony specjalności i korekta</t>
  </si>
  <si>
    <t xml:space="preserve">MP02-MVP</t>
  </si>
  <si>
    <t xml:space="preserve">M24: Fakty przed wizytą ze źródłami</t>
  </si>
  <si>
    <t xml:space="preserve">MP03-FINAL</t>
  </si>
  <si>
    <t xml:space="preserve">Clinic Intake</t>
  </si>
  <si>
    <t xml:space="preserve">Kliniki</t>
  </si>
  <si>
    <t xml:space="preserve">Zachować wcześniejsze funkcjonalności; rozszerzenia:
M27: Wywiad specjalistyczny i dokumentacja</t>
  </si>
  <si>
    <t xml:space="preserve">M27: Kompletność; kliniczny triaż pozostaje w M31</t>
  </si>
  <si>
    <t xml:space="preserve">MP03-MLP</t>
  </si>
  <si>
    <t xml:space="preserve">Zachować wcześniejsze funkcjonalności; rozszerzenia:
M27: Rozmowa zbierająca dane</t>
  </si>
  <si>
    <t xml:space="preserve">MP03-MVP</t>
  </si>
  <si>
    <t xml:space="preserve">M27: Formularz przed wizytą</t>
  </si>
  <si>
    <t xml:space="preserve">MP04-FINAL</t>
  </si>
  <si>
    <t xml:space="preserve">Clinic Inbox</t>
  </si>
  <si>
    <t xml:space="preserve">Zachować wcześniejsze funkcjonalności; rozszerzenia:
M23: Współpraca placówek</t>
  </si>
  <si>
    <t xml:space="preserve">M23: Kompletność i oszczędność czasu personelu</t>
  </si>
  <si>
    <t xml:space="preserve">MP04-MLP</t>
  </si>
  <si>
    <t xml:space="preserve">Zachować wcześniejsze funkcjonalności; rozszerzenia:
M23: OCR i zadania przed wizytą</t>
  </si>
  <si>
    <t xml:space="preserve">MP04-MVP</t>
  </si>
  <si>
    <t xml:space="preserve">M23: Skrzynka i lista braków</t>
  </si>
  <si>
    <t xml:space="preserve">MP05-FINAL</t>
  </si>
  <si>
    <t xml:space="preserve">OCR Medical Parser API</t>
  </si>
  <si>
    <t xml:space="preserve">Kliniki / laboratoria / dostawcy oprogramowania</t>
  </si>
  <si>
    <t xml:space="preserve">Zachować wcześniejsze funkcjonalności; rozszerzenia:
M03: Wiele formatów; własny parser opcjonalnie
M14: Lab Vault wielu laboratoriów także jako API</t>
  </si>
  <si>
    <t xml:space="preserve">M03-FINAL
M14-FINAL</t>
  </si>
  <si>
    <t xml:space="preserve">M03: Jakość ekstrakcji i koszt dokumentu
M14: Jednostki, zakresy referencyjne i identyfikacja pacjenta</t>
  </si>
  <si>
    <t xml:space="preserve">MP05-MLP</t>
  </si>
  <si>
    <t xml:space="preserve">Zachować wcześniejsze funkcjonalności; rozszerzenia:
M03: Parser pól, jednostek i deduplikacja
M14: Wyniki z LIS i kontrola jednostek</t>
  </si>
  <si>
    <t xml:space="preserve">M03-MLP
M14-MLP</t>
  </si>
  <si>
    <t xml:space="preserve">MP05-MVP</t>
  </si>
  <si>
    <t xml:space="preserve">M03: OCR i korekta użytkownika
M14: Wgrywanie, OCR i historia wyników</t>
  </si>
  <si>
    <t xml:space="preserve">M03-MVP
M14-MVP</t>
  </si>
  <si>
    <t xml:space="preserve">MP06-FINAL</t>
  </si>
  <si>
    <t xml:space="preserve">Universal Sync SDK</t>
  </si>
  <si>
    <t xml:space="preserve">Firmy healthtech / producenci urządzeń</t>
  </si>
  <si>
    <t xml:space="preserve">Zachować wcześniejsze funkcjonalności; rozszerzenia:
M04: Dobór źródeł według pokrycia, całkowitego kosztu i SLA</t>
  </si>
  <si>
    <t xml:space="preserve">M04: Urządzenie–metryka–częstotliwość; test migracji; własne urządzenie noszone tylko dla wykazanej luki</t>
  </si>
  <si>
    <t xml:space="preserve">MP06-MLP</t>
  </si>
  <si>
    <t xml:space="preserve">Zachować wcześniejsze funkcjonalności; rozszerzenia:
M04: Drugi przetestowany adapter oraz źródła telefonu/OEM według luk</t>
  </si>
  <si>
    <t xml:space="preserve">MP06-MVP</t>
  </si>
  <si>
    <t xml:space="preserve">M04: Universal Sync: jeden agregator, bez własnego urządzenia noszonego</t>
  </si>
  <si>
    <t xml:space="preserve">MP08-FINAL</t>
  </si>
  <si>
    <t xml:space="preserve">Lab Insights</t>
  </si>
  <si>
    <t xml:space="preserve">B2C/B2B</t>
  </si>
  <si>
    <t xml:space="preserve">Zachować wcześniejsze funkcjonalności; rozszerzenia:
M16: Interpretacja z lekarzem i ścieżką opieki</t>
  </si>
  <si>
    <t xml:space="preserve">M16: IFU, populacja, kraj i umowa; Labplus nie zastępuje wykonania badania</t>
  </si>
  <si>
    <t xml:space="preserve">MP08-MLP</t>
  </si>
  <si>
    <t xml:space="preserve">Zachować wcześniejsze funkcjonalności; rozszerzenia:
M16: Interpretacja partnerska w dopuszczonym zakresie</t>
  </si>
  <si>
    <t xml:space="preserve">MP08-MVP</t>
  </si>
  <si>
    <t xml:space="preserve">M16: Edukacyjne objaśnienie terminów</t>
  </si>
  <si>
    <t xml:space="preserve">MP09-FINAL</t>
  </si>
  <si>
    <t xml:space="preserve">Lab Booking Marketplace</t>
  </si>
  <si>
    <t xml:space="preserve">B2C / pracodawca</t>
  </si>
  <si>
    <t xml:space="preserve">Zachować wcześniejsze funkcjonalności; rozszerzenia:
M15: Sieć partnerów lub własny punkt pobrań</t>
  </si>
  <si>
    <t xml:space="preserve">M15: Marża po logistyce; własna analityka jako osobny wariant arkusza 40</t>
  </si>
  <si>
    <t xml:space="preserve">MP09-MLP</t>
  </si>
  <si>
    <t xml:space="preserve">Zachować wcześniejsze funkcjonalności; rozszerzenia:
M15: Zamówienie, pobranie i wynik</t>
  </si>
  <si>
    <t xml:space="preserve">MP09-MVP</t>
  </si>
  <si>
    <t xml:space="preserve">M15: Katalog i przekierowanie na badanie</t>
  </si>
  <si>
    <t xml:space="preserve">MP10-FINAL</t>
  </si>
  <si>
    <t xml:space="preserve">Care Access Router</t>
  </si>
  <si>
    <t xml:space="preserve">Zachować wcześniejsze funkcjonalności; rozszerzenia:
M12: Marketplace i rozliczenia partnerów
M13: Opieka wielu specjalistów</t>
  </si>
  <si>
    <t xml:space="preserve">M12-FINAL
M13-FINAL</t>
  </si>
  <si>
    <t xml:space="preserve">M12: Umowa, dostępność terminów i zwroty
M13: Uprawnienia świadczeniodawcy i kraj usługi</t>
  </si>
  <si>
    <t xml:space="preserve">MP10-MLP</t>
  </si>
  <si>
    <t xml:space="preserve">Zachować wcześniejsze funkcjonalności; rozszerzenia:
M12: Rezerwacja, płatność i status
M13: Wbudowana wizyta video</t>
  </si>
  <si>
    <t xml:space="preserve">M12-MLP
M13-MLP</t>
  </si>
  <si>
    <t xml:space="preserve">MP10-MVP</t>
  </si>
  <si>
    <t xml:space="preserve">M12: Katalog i przekierowanie do partnera
M13: Przekazanie do telemedycyny partnera</t>
  </si>
  <si>
    <t xml:space="preserve">M12-MVP
M13-MVP</t>
  </si>
  <si>
    <t xml:space="preserve">MP11-FINAL</t>
  </si>
  <si>
    <t xml:space="preserve">Medication Passport</t>
  </si>
  <si>
    <t xml:space="preserve">B2C / kliniki</t>
  </si>
  <si>
    <t xml:space="preserve">Zachować wcześniejsze funkcjonalności; rozszerzenia:
M17: Koordynacja farmakoterapii przez specjalistę</t>
  </si>
  <si>
    <t xml:space="preserve">M17: Zgodność ze źródłem; zmiana dawki to osobna funkcja kliniczna</t>
  </si>
  <si>
    <t xml:space="preserve">MP11-MLP</t>
  </si>
  <si>
    <t xml:space="preserve">Zachować wcześniejsze funkcjonalności; rozszerzenia:
M17: Adherencja i udostępnienie lekarzowi</t>
  </si>
  <si>
    <t xml:space="preserve">MP11-MVP</t>
  </si>
  <si>
    <t xml:space="preserve">M17: Lista leków i przypomnienia</t>
  </si>
  <si>
    <t xml:space="preserve">MP12-FINAL</t>
  </si>
  <si>
    <t xml:space="preserve">eHealth Country Pack</t>
  </si>
  <si>
    <t xml:space="preserve">Kliniki / sieci</t>
  </si>
  <si>
    <t xml:space="preserve">Zachować wcześniejsze funkcjonalności; rozszerzenia:
M18: Wiele lokalnych adapterów
M28: Katalog adapterów HIS i kraju</t>
  </si>
  <si>
    <t xml:space="preserve">M18-FINAL
M28-FINAL</t>
  </si>
  <si>
    <t xml:space="preserve">M18: Uprawnienia i integracja osobno dla każdego kraju
M28: Umowa, semantyka i test mapowania; FHIR nie wystarcza sam</t>
  </si>
  <si>
    <t xml:space="preserve">MP12-MLP</t>
  </si>
  <si>
    <t xml:space="preserve">Zachować wcześniejsze funkcjonalności; rozszerzenia:
M18: Krajowy przebieg pracy przez partnera
M28: Jeden adapter HIS/FHIR</t>
  </si>
  <si>
    <t xml:space="preserve">M18-MLP
M28-MLP</t>
  </si>
  <si>
    <t xml:space="preserve">MP12-MVP</t>
  </si>
  <si>
    <t xml:space="preserve">M18: Przechowanie recepty/skierowania
M28: Import/eksport plików</t>
  </si>
  <si>
    <t xml:space="preserve">M18-MVP
M28-MVP</t>
  </si>
  <si>
    <t xml:space="preserve">MP13-FINAL</t>
  </si>
  <si>
    <t xml:space="preserve">FHIR / EEHRxF Mapper</t>
  </si>
  <si>
    <t xml:space="preserve">Szpitale / dostawcy</t>
  </si>
  <si>
    <t xml:space="preserve">Zachować wcześniejsze funkcjonalności; rozszerzenia:
M28: Katalog adapterów HIS i kraju</t>
  </si>
  <si>
    <t xml:space="preserve">M28: Umowa, semantyka i test mapowania; FHIR nie wystarcza sam</t>
  </si>
  <si>
    <t xml:space="preserve">MP13-MLP</t>
  </si>
  <si>
    <t xml:space="preserve">Zachować wcześniejsze funkcjonalności; rozszerzenia:
M28: Jeden adapter HIS/FHIR</t>
  </si>
  <si>
    <t xml:space="preserve">MP13-MVP</t>
  </si>
  <si>
    <t xml:space="preserve">M28: Import/eksport plików</t>
  </si>
  <si>
    <t xml:space="preserve">MP14-FINAL</t>
  </si>
  <si>
    <t xml:space="preserve">Consent &amp; Audit SDK</t>
  </si>
  <si>
    <t xml:space="preserve">Firmy healthtech / kliniki</t>
  </si>
  <si>
    <t xml:space="preserve">Zachować wcześniejsze funkcjonalności; rozszerzenia:
M25: Przekazanie między organizacjami</t>
  </si>
  <si>
    <t xml:space="preserve">M25: Test zakresu, wygaśnięcia i eksportu</t>
  </si>
  <si>
    <t xml:space="preserve">MP14-MLP</t>
  </si>
  <si>
    <t xml:space="preserve">Zachować wcześniejsze funkcjonalności; rozszerzenia:
M25: Audyt i odwołanie dostępu</t>
  </si>
  <si>
    <t xml:space="preserve">MP14-MVP</t>
  </si>
  <si>
    <t xml:space="preserve">M25: Czasowe udostępnienie</t>
  </si>
  <si>
    <t xml:space="preserve">MP15-FINAL</t>
  </si>
  <si>
    <t xml:space="preserve">Eternal ID Health Passport</t>
  </si>
  <si>
    <t xml:space="preserve">Podróżni / kliniki</t>
  </si>
  <si>
    <t xml:space="preserve">Zachować wcześniejsze funkcjonalności; rozszerzenia:
M01: Federacja tożsamości i lokalne aliasy
M02: Przenośny portfel danych z wielu źródeł</t>
  </si>
  <si>
    <t xml:space="preserve">M01-FINAL
M02-FINAL</t>
  </si>
  <si>
    <t xml:space="preserve">M01: Sprawdzone przypisanie osoby oraz uprawnień
M02: Test eksportu, odwołania dostępu i odtworzenia</t>
  </si>
  <si>
    <t xml:space="preserve">MP15-MLP</t>
  </si>
  <si>
    <t xml:space="preserve">Zachować wcześniejsze funkcjonalności; rozszerzenia:
M01: Role opiekuna i kliniki
M02: Wersjonowanie i kontrola udostępniania</t>
  </si>
  <si>
    <t xml:space="preserve">M01-MLP
M02-MLP</t>
  </si>
  <si>
    <t xml:space="preserve">MP15-MVP</t>
  </si>
  <si>
    <t xml:space="preserve">M01: Logowanie i profil
M02: Import, magazyn dokumentów i eksport</t>
  </si>
  <si>
    <t xml:space="preserve">M01-MVP
M02-MVP</t>
  </si>
  <si>
    <t xml:space="preserve">MP20-FINAL</t>
  </si>
  <si>
    <t xml:space="preserve">Clinic Specialty Pack</t>
  </si>
  <si>
    <t xml:space="preserve">Zachować wcześniejsze funkcjonalności; rozszerzenia:
M30: Wiele krajów bez forków kodu</t>
  </si>
  <si>
    <t xml:space="preserve">M30: Izolacja organizacji i test konfiguracji</t>
  </si>
  <si>
    <t xml:space="preserve">MP20-MLP</t>
  </si>
  <si>
    <t xml:space="preserve">Zachować wcześniejsze funkcjonalności; rozszerzenia:
M30: Szablony, marka i pakiety</t>
  </si>
  <si>
    <t xml:space="preserve">MP20-MVP</t>
  </si>
  <si>
    <t xml:space="preserve">M30: Role i konfiguracja kliniki</t>
  </si>
  <si>
    <t xml:space="preserve">MP22-FINAL</t>
  </si>
  <si>
    <t xml:space="preserve">Właściciele zwierząt / weterynarze</t>
  </si>
  <si>
    <t xml:space="preserve">Zachować wcześniejsze funkcjonalności; rozszerzenia:
M58: Profil dla weterynarza i partnerów</t>
  </si>
  <si>
    <t xml:space="preserve">M58: Właściwy wykonawca weterynaryjny i odseparowanie właściciela</t>
  </si>
  <si>
    <t xml:space="preserve">MP22-MLP</t>
  </si>
  <si>
    <t xml:space="preserve">Zachować wcześniejsze funkcjonalności; rozszerzenia:
M58: Przypomnienia i lecznica</t>
  </si>
  <si>
    <t xml:space="preserve">MP22-MVP</t>
  </si>
  <si>
    <t xml:space="preserve">M58: Paszport zwierzęcia i dokumenty</t>
  </si>
  <si>
    <t xml:space="preserve">MP26-FINAL</t>
  </si>
  <si>
    <t xml:space="preserve">Klinicyści / użytkownicy</t>
  </si>
  <si>
    <t xml:space="preserve">Zachować wcześniejsze funkcjonalności; rozszerzenia:
M69: Lekarz wspierany AI; autonomiczny lekarz jako oddzielny cel R&amp;D</t>
  </si>
  <si>
    <t xml:space="preserve">M69: Ewaluacja; OpenEvidence jako warunkowy zamiennik INT19 po potwierdzeniu praw i zakresu</t>
  </si>
  <si>
    <t xml:space="preserve">MP26-MLP</t>
  </si>
  <si>
    <t xml:space="preserve">Zachować wcześniejsze funkcjonalności; rozszerzenia:
M69: Rekomendacje i kontekst w dozwolonym zakresie</t>
  </si>
  <si>
    <t xml:space="preserve">MP26-MVP</t>
  </si>
  <si>
    <t xml:space="preserve">M69: RAG i cytowanie: edukacja, źródła, odmowa</t>
  </si>
  <si>
    <t xml:space="preserve">MP27-FINAL</t>
  </si>
  <si>
    <t xml:space="preserve">Accessibility Pack</t>
  </si>
  <si>
    <t xml:space="preserve">Przedsiębiorstwa / sektor publiczny</t>
  </si>
  <si>
    <t xml:space="preserve">Zachować wcześniejsze funkcjonalności; rozszerzenia:
M62: Opieka domowa i placówkowa</t>
  </si>
  <si>
    <t xml:space="preserve">M62: Dostępność i potwierdzony odbiór zgłoszeń</t>
  </si>
  <si>
    <t xml:space="preserve">MP27-MLP</t>
  </si>
  <si>
    <t xml:space="preserve">Zachować wcześniejsze funkcjonalności; rozszerzenia:
M62: Kontakt kontrolny, zadania i pomiary</t>
  </si>
  <si>
    <t xml:space="preserve">MP27-MVP</t>
  </si>
  <si>
    <t xml:space="preserve">M62: Dostępny interfejs i opiekun</t>
  </si>
  <si>
    <t xml:space="preserve">MP28-FINAL</t>
  </si>
  <si>
    <t xml:space="preserve">Family / Caregiver Pack</t>
  </si>
  <si>
    <t xml:space="preserve">Rodziny / płatnicy</t>
  </si>
  <si>
    <t xml:space="preserve">Zachować wcześniejsze funkcjonalności; rozszerzenia:
M61: Opieka pediatryczna i zmiana praw z wiekiem
M62: Opieka domowa i placówkowa</t>
  </si>
  <si>
    <t xml:space="preserve">M61-FINAL
M62-FINAL</t>
  </si>
  <si>
    <t xml:space="preserve">M61: Zasady reprezentacji, wieku i zakres pediatryczny
M62: Dostępność i potwierdzony odbiór zgłoszeń</t>
  </si>
  <si>
    <t xml:space="preserve">MP28-MLP</t>
  </si>
  <si>
    <t xml:space="preserve">Zachować wcześniejsze funkcjonalności; rozszerzenia:
M61: Kalendarz i historia rodziny
M62: Kontakt kontrolny, zadania i pomiary</t>
  </si>
  <si>
    <t xml:space="preserve">M61-MLP
M62-MLP</t>
  </si>
  <si>
    <t xml:space="preserve">MP28-MVP</t>
  </si>
  <si>
    <t xml:space="preserve">M61: Profil dziecka i opiekuna
M62: Dostępny interfejs i opiekun</t>
  </si>
  <si>
    <t xml:space="preserve">M61-MVP
M62-MVP</t>
  </si>
  <si>
    <t xml:space="preserve">PR01-FINAL</t>
  </si>
  <si>
    <t xml:space="preserve">B2C każdy użytkownik</t>
  </si>
  <si>
    <t xml:space="preserve">Zachować wcześniejsze funkcjonalności; rozszerzenia:
M01: Federacja tożsamości i lokalne aliasy
M02: Przenośny portfel danych z wielu źródeł
M03: Wiele formatów; własny parser opcjonalnie
M04: Dobór źródeł według pokrycia, całkowitego kosztu i SLA
M05: Raporty dla pacjenta i specjalisty
M06: Wielokanałowe reguły dostarczenia</t>
  </si>
  <si>
    <t xml:space="preserve">M01-FINAL
M02-FINAL
M03-FINAL
M04-FINAL
M05-FINAL
M06-FINAL</t>
  </si>
  <si>
    <t xml:space="preserve">Ekosystem i API; własne dane użytkownika dostępne bez opłaty</t>
  </si>
  <si>
    <t xml:space="preserve">M01: Sprawdzone przypisanie osoby oraz uprawnień
M02: Test eksportu, odwołania dostępu i odtworzenia
M03: Jakość ekstrakcji i koszt dokumentu
M04: Urządzenie–metryka–częstotliwość; test migracji; własne urządzenie noszone tylko dla wykazanej luki
M05: Każdy fakt ma źródło; raport faktów nie dodaje diagnozy
M06: Dostarczalność i deduplikacja</t>
  </si>
  <si>
    <t xml:space="preserve">PR01-MLP</t>
  </si>
  <si>
    <t xml:space="preserve">Zachować wcześniejsze funkcjonalności; rozszerzenia:
M01: Role opiekuna i kliniki
M02: Wersjonowanie i kontrola udostępniania
M03: Parser pól, jednostek i deduplikacja
M04: Drugi przetestowany adapter oraz źródła telefonu/OEM według luk
M05: Porównanie okresów i szablony
M06: Połączenie wizyt i zadań</t>
  </si>
  <si>
    <t xml:space="preserve">M01-MLP
M02-MLP
M03-MLP
M04-MLP
M05-MLP
M06-MLP</t>
  </si>
  <si>
    <t xml:space="preserve">Rdzeń BEZPŁATNY + płatny partner lub rozszerzony przebieg pracy</t>
  </si>
  <si>
    <t xml:space="preserve">PR01-MVP</t>
  </si>
  <si>
    <t xml:space="preserve">M01: Logowanie i profil
M02: Import, magazyn dokumentów i eksport
M03: OCR i korekta użytkownika
M04: Universal Sync: jeden agregator, bez własnego urządzenia noszonego
M05: Chronologia i raport faktów
M06: Przypomnienie i kalendarz</t>
  </si>
  <si>
    <t xml:space="preserve">M01-MVP
M02-MVP
M03-MVP
M04-MVP
M05-MVP
M06-MVP</t>
  </si>
  <si>
    <t xml:space="preserve">Rdzeń BEZPŁATNY; budowa historii i dystrybucji</t>
  </si>
  <si>
    <t xml:space="preserve">PR02-FINAL</t>
  </si>
  <si>
    <t xml:space="preserve">Fitness / sen / żywienie / dobrostan / długowieczność</t>
  </si>
  <si>
    <t xml:space="preserve">Zachować wcześniejsze funkcjonalności; rozszerzenia:
M07: Program snu; kliniczne rozszerzenie przez specjalistę
M08: Program z dietetykiem
M09: Program trenera lub rehabilitanta
M10: Scenariusze wellness
M11: Program profilaktyki z ocenionymi miernikami</t>
  </si>
  <si>
    <t xml:space="preserve">M07-FINAL
M08-FINAL
M09-FINAL
M10-FINAL
M11-FINAL</t>
  </si>
  <si>
    <t xml:space="preserve">Wersja podstawowa BEZPŁATNA; płatne usługi partnera; przejęcie do własnego wykonania tylko po porównaniu całkowitego kosztu</t>
  </si>
  <si>
    <t xml:space="preserve">M07: Efekt programu; rozpoznawanie zaburzeń poza zakresem wellness
M08: Błąd rozpoznania, adherencja i zakres usługi specjalisty
M09: Jakość pomiaru i koszt sesji
M10: Pokrycie geograficzne; korelacja nie dowodzi przyczyny
M11: Walidacja wskaźników; brak obietnicy wydłużenia życia</t>
  </si>
  <si>
    <t xml:space="preserve">PR02-MLP</t>
  </si>
  <si>
    <t xml:space="preserve">Zachować wcześniejsze funkcjonalności; rozszerzenia:
M07: Trendy i cele higieny snu
M08: Rozpoznanie posiłku z korektą i plan ogólny
M09: Postęp i analiza ruchu
M10: Ekspozycja połączona z dziennikiem
M11: Cele i dostęp do partnerów</t>
  </si>
  <si>
    <t xml:space="preserve">M07-MLP
M08-MLP
M09-MLP
M10-MLP
M11-MLP</t>
  </si>
  <si>
    <t xml:space="preserve">Płatny program/usługa/API zgodnie z klientem; Wersja podstawowa BEZPŁATNA; płatne usługi partnera</t>
  </si>
  <si>
    <t xml:space="preserve">PR02-MVP</t>
  </si>
  <si>
    <t xml:space="preserve">M07: Dziennik snu i edukacja
M08: Dziennik posiłków i treści
M09: Aktywność i plan ogólny
M10: Pogoda i środowisko
M11: Trendy i edukacja profilaktyczna</t>
  </si>
  <si>
    <t xml:space="preserve">M07-MVP
M08-MVP
M09-MVP
M10-MVP
M11-MVP</t>
  </si>
  <si>
    <t xml:space="preserve">Wersja podstawowa BEZPŁATNA; płatne usługi partnera</t>
  </si>
  <si>
    <t xml:space="preserve">PR03-FINAL</t>
  </si>
  <si>
    <t xml:space="preserve">Pacjent potrzebujący świadczenia</t>
  </si>
  <si>
    <t xml:space="preserve">Katalog i rezerwacja BEZPŁATNE; świadczenie płatne; przejęcie do własnego wykonania tylko po porównaniu całkowitego kosztu</t>
  </si>
  <si>
    <t xml:space="preserve">PR03-MLP</t>
  </si>
  <si>
    <t xml:space="preserve">Płatny program/usługa/API zgodnie z klientem; Katalog i rezerwacja BEZPŁATNE; świadczenie płatne</t>
  </si>
  <si>
    <t xml:space="preserve">PR03-MVP</t>
  </si>
  <si>
    <t xml:space="preserve">Katalog i rezerwacja BEZPŁATNE; świadczenie płatne</t>
  </si>
  <si>
    <t xml:space="preserve">PR04-FINAL</t>
  </si>
  <si>
    <t xml:space="preserve">Lekarz, ambulatoryjna klinika, sieć placówek</t>
  </si>
  <si>
    <t xml:space="preserve">Zachować wcześniejsze funkcjonalności; rozszerzenia:
M23: Współpraca placówek
M24: Zestawienie w wielu systemach szpitalnych
M25: Przekazanie między organizacjami
M26: Wiele specjalności i wybór silnika
M27: Wywiad specjalistyczny i dokumentacja
M28: Katalog adapterów HIS i kraju
M29: RPM i eskalacja do zespołu
M30: Wiele krajów bez forków kodu</t>
  </si>
  <si>
    <t xml:space="preserve">M23-FINAL
M24-FINAL
M25-FINAL
M26-FINAL
M27-FINAL
M28-FINAL
M29-FINAL
M30-FINAL</t>
  </si>
  <si>
    <t xml:space="preserve">M23: Kompletność i oszczędność czasu personelu
M24: Sprawdzalność faktu i akceptacja klinicysty
M25: Test zakresu, wygaśnięcia i eksportu
M26: Zgoda, błąd kliniczny, czas korekty; bez automatycznego podpisu
M27: Kompletność; kliniczny triaż pozostaje w M31
M28: Umowa, semantyka i test mapowania; FHIR nie wystarcza sam
M29: Czas odpowiedzi i jawny zakres godzin opieki
M30: Izolacja organizacji i test konfiguracji</t>
  </si>
  <si>
    <t xml:space="preserve">PR04-MLP</t>
  </si>
  <si>
    <t xml:space="preserve">Zachować wcześniejsze funkcjonalności; rozszerzenia:
M23: OCR i zadania przed wizytą
M24: Szablony specjalności i korekta
M25: Audyt i odwołanie dostępu
M26: Strukturalna notatka i HIS
M27: Rozmowa zbierająca dane
M28: Jeden adapter HIS/FHIR
M29: Video i komunikacja po wizycie
M30: Szablony, marka i pakiety</t>
  </si>
  <si>
    <t xml:space="preserve">M23-MLP
M24-MLP
M25-MLP
M26-MLP
M27-MLP
M28-MLP
M29-MLP
M30-MLP</t>
  </si>
  <si>
    <t xml:space="preserve">PR04-MVP</t>
  </si>
  <si>
    <t xml:space="preserve">M23: Skrzynka i lista braków
M24: Fakty przed wizytą ze źródłami
M25: Czasowe udostępnienie
M26: Transkrypcja i szkic do zatwierdzenia
M27: Formularz przed wizytą
M28: Import/eksport plików
M29: Kontynuacja opieki według zaleceń lekarza
M30: Role i konfiguracja kliniki</t>
  </si>
  <si>
    <t xml:space="preserve">M23-MVP
M24-MVP
M25-MVP
M26-MVP
M27-MVP
M28-MVP
M29-MVP
M30-MVP</t>
  </si>
  <si>
    <t xml:space="preserve">PR05-FINAL</t>
  </si>
  <si>
    <t xml:space="preserve">Kliniki, specjaliści i płatnicy w określonym przeznaczeniu</t>
  </si>
  <si>
    <t xml:space="preserve">Zachować wcześniejsze funkcjonalności; rozszerzenia:
M31: Lekarz wspierany AI / dopuszczony CDSS</t>
  </si>
  <si>
    <t xml:space="preserve">Płatne B2B / partner / regulowane; przejęcie do własnego wykonania tylko po porównaniu całkowitego kosztu</t>
  </si>
  <si>
    <t xml:space="preserve">M31: Nowe przeznaczenie wymaga oceny; autonomiczny lekarz to odrębny cel R&amp;D</t>
  </si>
  <si>
    <t xml:space="preserve">PR05-MLP</t>
  </si>
  <si>
    <t xml:space="preserve">Zachować wcześniejsze funkcjonalności; rozszerzenia:
M31: Rekomendacje w zawężonym wskazaniu z nadzorem</t>
  </si>
  <si>
    <t xml:space="preserve">Płatny program/usługa/API zgodnie z klientem; Płatne B2B / partner / regulowane</t>
  </si>
  <si>
    <t xml:space="preserve">PR05-MVP</t>
  </si>
  <si>
    <t xml:space="preserve">M31: Asystent informacyjny: współdzielony M69</t>
  </si>
  <si>
    <t xml:space="preserve">Płatne B2B / partner / regulowane</t>
  </si>
  <si>
    <t xml:space="preserve">PR06-FINAL</t>
  </si>
  <si>
    <t xml:space="preserve">Pacjent + klinika + laboratoria</t>
  </si>
  <si>
    <t xml:space="preserve">Zachować wcześniejsze funkcjonalności; rozszerzenia:
M14: Lab Vault wielu laboratoriów także jako API
M15: Sieć partnerów lub własny punkt pobrań
M16: Interpretacja z lekarzem i ścieżką opieki</t>
  </si>
  <si>
    <t xml:space="preserve">M14-FINAL
M15-FINAL
M16-FINAL</t>
  </si>
  <si>
    <t xml:space="preserve">Historia i wyświetlanie BEZPŁATNE; badanie/interpretacja płatne; przejęcie do własnego wykonania tylko po porównaniu całkowitego kosztu</t>
  </si>
  <si>
    <t xml:space="preserve">M14: Jednostki, zakresy referencyjne i identyfikacja pacjenta
M15: Marża po logistyce; własna analityka jako osobny wariant arkusza 40
M16: IFU, populacja, kraj i umowa; Labplus nie zastępuje wykonania badania</t>
  </si>
  <si>
    <t xml:space="preserve">PR06-MLP</t>
  </si>
  <si>
    <t xml:space="preserve">Zachować wcześniejsze funkcjonalności; rozszerzenia:
M14: Wyniki z LIS i kontrola jednostek
M15: Zamówienie, pobranie i wynik
M16: Interpretacja partnerska w dopuszczonym zakresie</t>
  </si>
  <si>
    <t xml:space="preserve">M14-MLP
M15-MLP
M16-MLP</t>
  </si>
  <si>
    <t xml:space="preserve">Płatny program/usługa/API zgodnie z klientem; Historia i wyświetlanie BEZPŁATNE; badanie/interpretacja płatne</t>
  </si>
  <si>
    <t xml:space="preserve">PR06-MVP</t>
  </si>
  <si>
    <t xml:space="preserve">M14: Wgrywanie, OCR i historia wyników
M15: Katalog i przekierowanie na badanie
M16: Edukacyjne objaśnienie terminów</t>
  </si>
  <si>
    <t xml:space="preserve">M14-MVP
M15-MVP
M16-MVP</t>
  </si>
  <si>
    <t xml:space="preserve">Historia i wyświetlanie BEZPŁATNE; badanie/interpretacja płatne</t>
  </si>
  <si>
    <t xml:space="preserve">PR07-FINAL</t>
  </si>
  <si>
    <t xml:space="preserve">Pacjent + klinika + apteka / płatnik</t>
  </si>
  <si>
    <t xml:space="preserve">Zachować wcześniejsze funkcjonalności; rozszerzenia:
M17: Koordynacja farmakoterapii przez specjalistę
M18: Wiele lokalnych adapterów</t>
  </si>
  <si>
    <t xml:space="preserve">M17-FINAL
M18-FINAL</t>
  </si>
  <si>
    <t xml:space="preserve">Rdzeń BEZPŁATNY; płatne wydawanie leków, konsultacje i regulowane bezpieczeństwo; przejęcie do własnego wykonania tylko po porównaniu całkowitego kosztu</t>
  </si>
  <si>
    <t xml:space="preserve">M17: Zgodność ze źródłem; zmiana dawki to osobna funkcja kliniczna
M18: Uprawnienia i integracja osobno dla każdego kraju</t>
  </si>
  <si>
    <t xml:space="preserve">PR07-MLP</t>
  </si>
  <si>
    <t xml:space="preserve">Zachować wcześniejsze funkcjonalności; rozszerzenia:
M17: Adherencja i udostępnienie lekarzowi
M18: Krajowy przebieg pracy przez partnera</t>
  </si>
  <si>
    <t xml:space="preserve">M17-MLP
M18-MLP</t>
  </si>
  <si>
    <t xml:space="preserve">Płatny program/usługa/API zgodnie z klientem; Rdzeń BEZPŁATNY; płatne wydawanie leków, konsultacje i regulowane bezpieczeństwo</t>
  </si>
  <si>
    <t xml:space="preserve">PR07-MVP</t>
  </si>
  <si>
    <t xml:space="preserve">M17: Lista leków i przypomnienia
M18: Przechowanie recepty/skierowania</t>
  </si>
  <si>
    <t xml:space="preserve">M17-MVP
M18-MVP</t>
  </si>
  <si>
    <t xml:space="preserve">Rdzeń BEZPŁATNY; płatne wydawanie leków, konsultacje i regulowane bezpieczeństwo</t>
  </si>
  <si>
    <t xml:space="preserve">PR08-FINAL</t>
  </si>
  <si>
    <t xml:space="preserve">B2C + terapeuci/psychiatrzy</t>
  </si>
  <si>
    <t xml:space="preserve">Zachować wcześniejsze funkcjonalności; rozszerzenia:
M19: Przekazanie do opieki
M20: Dopuszczona terapia cyfrowa lub urządzeniowa</t>
  </si>
  <si>
    <t xml:space="preserve">M19-FINAL
M20-FINAL</t>
  </si>
  <si>
    <t xml:space="preserve">Rdzeń BEZPŁATNY; płatne usługi specjalisty i regulowana terapia; przejęcie do własnego wykonania tylko po porównaniu całkowitego kosztu</t>
  </si>
  <si>
    <t xml:space="preserve">M19: Aktualne ścieżki pomocy; dostęp kryzysowy bez paywalla
M20: Skuteczność, kwalifikacja pacjenta i zgodność urządzenia ze wskazaniem</t>
  </si>
  <si>
    <t xml:space="preserve">PR08-MLP</t>
  </si>
  <si>
    <t xml:space="preserve">Zachować wcześniejsze funkcjonalności; rozszerzenia:
M19: Program dobrostanu i kontakt ze specjalistą
M20: Terapia realizowana przez partnera</t>
  </si>
  <si>
    <t xml:space="preserve">M19-MLP
M20-MLP</t>
  </si>
  <si>
    <t xml:space="preserve">Płatny program/usługa/API zgodnie z klientem; Rdzeń BEZPŁATNY; płatne usługi specjalisty i regulowana terapia</t>
  </si>
  <si>
    <t xml:space="preserve">PR08-MVP</t>
  </si>
  <si>
    <t xml:space="preserve">M19: Dziennik, edukacja i pomoc kryzysowa
M20: Katalog specjalistów</t>
  </si>
  <si>
    <t xml:space="preserve">M19-MVP
M20-MVP</t>
  </si>
  <si>
    <t xml:space="preserve">Rdzeń BEZPŁATNY; płatne usługi specjalisty i regulowana terapia</t>
  </si>
  <si>
    <t xml:space="preserve">PR09-FINAL</t>
  </si>
  <si>
    <t xml:space="preserve">B2C + specjaliści + badania</t>
  </si>
  <si>
    <t xml:space="preserve">Zachować wcześniejsze funkcjonalności; rozszerzenia:
M21: Kontrolowane udostępnienie i konsultacja
M22: Walidowane wsparcie PGx</t>
  </si>
  <si>
    <t xml:space="preserve">M21-FINAL
M22-FINAL</t>
  </si>
  <si>
    <t xml:space="preserve">Przechowywanie i import BEZPŁATNE; płatne badanie i interpretacja; przejęcie do własnego wykonania tylko po porównaniu całkowitego kosztu</t>
  </si>
  <si>
    <t xml:space="preserve">M21: Zgoda i prawa do danych; bez własnego laboratorium na start
M22: Dowód dla konkretnego wskazania; wellness nie jest farmakogenomiką</t>
  </si>
  <si>
    <t xml:space="preserve">PR09-MLP</t>
  </si>
  <si>
    <t xml:space="preserve">Zachować wcześniejsze funkcjonalności; rozszerzenia:
M21: Test partnera i wynik w profilu
M22: Interpretacja przez specjalistę</t>
  </si>
  <si>
    <t xml:space="preserve">M21-MLP
M22-MLP</t>
  </si>
  <si>
    <t xml:space="preserve">Płatny program/usługa/API zgodnie z klientem; Przechowywanie i import BEZPŁATNE; płatne badanie i interpretacja</t>
  </si>
  <si>
    <t xml:space="preserve">PR09-MVP</t>
  </si>
  <si>
    <t xml:space="preserve">M21: Sejf genetyczny: import raportu
M22: Edukacja terminów genetycznych</t>
  </si>
  <si>
    <t xml:space="preserve">M21-MVP
M22-MVP</t>
  </si>
  <si>
    <t xml:space="preserve">Przechowywanie i import BEZPŁATNE; płatne badanie i interpretacja</t>
  </si>
  <si>
    <t xml:space="preserve">PR10-FINAL</t>
  </si>
  <si>
    <t xml:space="preserve">Eternal Research/API</t>
  </si>
  <si>
    <t xml:space="preserve">B2B, badania, integratorzy</t>
  </si>
  <si>
    <t xml:space="preserve">Zachować wcześniejsze funkcjonalności; rozszerzenia:
M02: Przenośny portfel danych z wielu źródeł
M25: Przekazanie między organizacjami
M28: Katalog adapterów HIS i kraju
M57: Marketplace wymiennych usług i modeli
M68: Bliźniak populacyjny i kontrolowane użycie wtórne</t>
  </si>
  <si>
    <t xml:space="preserve">M02-FINAL
M25-FINAL
M28-FINAL
M57-FINAL
M68-FINAL</t>
  </si>
  <si>
    <t xml:space="preserve">Płatne B2B / API; kontrola zgód przez użytkownika BEZPŁATNA; przejęcie do własnego wykonania tylko po porównaniu całkowitego kosztu</t>
  </si>
  <si>
    <t xml:space="preserve">M02: Test eksportu, odwołania dostępu i odtworzenia
M25: Test zakresu, wygaśnięcia i eksportu
M28: Umowa, semantyka i test mapowania; FHIR nie wystarcza sam
M57: Ten sam kontrakt funkcjonalny; dostęp do usługi nie daje praw do IP
M68: Cel badania, jakość i prywatność; federacja nie oznacza anonimowości</t>
  </si>
  <si>
    <t xml:space="preserve">PR10-MLP</t>
  </si>
  <si>
    <t xml:space="preserve">Zachować wcześniejsze funkcjonalności; rozszerzenia:
M02: Wersjonowanie i kontrola udostępniania
M25: Audyt i odwołanie dostępu
M28: Jeden adapter HIS/FHIR
M57: Kierowanie oraz pomiar jakości i kosztów
M68: Pilotaż kohortowy/federacyjny</t>
  </si>
  <si>
    <t xml:space="preserve">M02-MLP
M25-MLP
M28-MLP
M57-MLP
M68-MLP</t>
  </si>
  <si>
    <t xml:space="preserve">Płatny program/usługa/API zgodnie z klientem; Płatne B2B / API; kontrola zgód przez użytkownika BEZPŁATNA</t>
  </si>
  <si>
    <t xml:space="preserve">PR10-MVP</t>
  </si>
  <si>
    <t xml:space="preserve">M02: Import, magazyn dokumentów i eksport
M25: Czasowe udostępnienie
M28: Import/eksport plików
M57: Rejestr wykonawców i wybór ręczny
M68: Protokół badawczy i dozwolony zbiór</t>
  </si>
  <si>
    <t xml:space="preserve">M02-MVP
M25-MVP
M28-MVP
M57-MVP
M68-MVP</t>
  </si>
  <si>
    <t xml:space="preserve">Płatne B2B / API; kontrola zgód przez użytkownika BEZPŁATNA</t>
  </si>
  <si>
    <t xml:space="preserve">PR33-FINAL</t>
  </si>
  <si>
    <t xml:space="preserve">Właściciele zwierząt, lekarze weterynarii, hodowcy</t>
  </si>
  <si>
    <t xml:space="preserve">Zachować wcześniejsze funkcjonalności; rozszerzenia:
M58: Profil dla weterynarza i partnerów
M59: Station dla zwierząt lub monitoring OEM</t>
  </si>
  <si>
    <t xml:space="preserve">M58-FINAL
M59-FINAL</t>
  </si>
  <si>
    <t xml:space="preserve">Profil BEZPŁATNY; płatne usługi i urządzenia; przejęcie do własnego wykonania tylko po porównaniu całkowitego kosztu</t>
  </si>
  <si>
    <t xml:space="preserve">M58: Właściwy wykonawca weterynaryjny i odseparowanie właściciela
M59: Sprzęt odpowiedni dla gatunku i zakres usług weterynaryjnych</t>
  </si>
  <si>
    <t xml:space="preserve">PR33-MLP</t>
  </si>
  <si>
    <t xml:space="preserve">Zachować wcześniejsze funkcjonalności; rozszerzenia:
M58: Przypomnienia i lecznica
M59: Teleweterynaria i opieka</t>
  </si>
  <si>
    <t xml:space="preserve">M58-MLP
M59-MLP</t>
  </si>
  <si>
    <t xml:space="preserve">Płatny program/usługa/API zgodnie z klientem; Profil BEZPŁATNY; płatne usługi i urządzenia</t>
  </si>
  <si>
    <t xml:space="preserve">PR33-MVP</t>
  </si>
  <si>
    <t xml:space="preserve">M58: Paszport zwierzęcia i dokumenty
M59: Tracker i katalog lecznic</t>
  </si>
  <si>
    <t xml:space="preserve">M58-MVP
M59-MVP</t>
  </si>
  <si>
    <t xml:space="preserve">Profil BEZPŁATNY; płatne usługi i urządzenia</t>
  </si>
  <si>
    <t xml:space="preserve">PR34-FINAL</t>
  </si>
  <si>
    <t xml:space="preserve">Kobiety, rodziny, pediatria</t>
  </si>
  <si>
    <t xml:space="preserve">Zachować wcześniejsze funkcjonalności; rozszerzenia:
M60: Program specjalistyczny
M61: Opieka pediatryczna i zmiana praw z wiekiem</t>
  </si>
  <si>
    <t xml:space="preserve">M60-FINAL
M61-FINAL</t>
  </si>
  <si>
    <t xml:space="preserve">Śledzenie BEZPŁATNE; płatne badania, konsultacje i specjaliści; przejęcie do własnego wykonania tylko po porównaniu całkowitego kosztu</t>
  </si>
  <si>
    <t xml:space="preserve">M60: Walidacja populacji; antykoncepcja wymaga innego przeznaczenia
M61: Zasady reprezentacji, wieku i zakres pediatryczny</t>
  </si>
  <si>
    <t xml:space="preserve">PR34-MLP</t>
  </si>
  <si>
    <t xml:space="preserve">Zachować wcześniejsze funkcjonalności; rozszerzenia:
M60: Koordynacja wizyt i testów
M61: Kalendarz i historia rodziny</t>
  </si>
  <si>
    <t xml:space="preserve">M60-MLP
M61-MLP</t>
  </si>
  <si>
    <t xml:space="preserve">Płatny program/usługa/API zgodnie z klientem; Śledzenie BEZPŁATNE; płatne badania, konsultacje i specjaliści</t>
  </si>
  <si>
    <t xml:space="preserve">PR34-MVP</t>
  </si>
  <si>
    <t xml:space="preserve">M60: Dziennik cyklu/ciąży i edukacja
M61: Profil dziecka i opiekuna</t>
  </si>
  <si>
    <t xml:space="preserve">M60-MVP
M61-MVP</t>
  </si>
  <si>
    <t xml:space="preserve">Śledzenie BEZPŁATNE; płatne badania, konsultacje i specjaliści</t>
  </si>
  <si>
    <t xml:space="preserve">PR35-FINAL</t>
  </si>
  <si>
    <t xml:space="preserve">Seniorzy, opiekunowie, kliniki rehabilitacyjne</t>
  </si>
  <si>
    <t xml:space="preserve">Zachować wcześniejsze funkcjonalności; rozszerzenia:
M62: Opieka domowa i placówkowa
M63: Program monitoringu zdalnego i rehabilitacji z opieką</t>
  </si>
  <si>
    <t xml:space="preserve">M62-FINAL
M63-FINAL</t>
  </si>
  <si>
    <t xml:space="preserve">Rdzeń BEZPŁATNY; płatna opieka, urządzenia, opłata za członka miesięcznie; przejęcie do własnego wykonania tylko po porównaniu całkowitego kosztu</t>
  </si>
  <si>
    <t xml:space="preserve">M62: Dostępność i potwierdzony odbiór zgłoszeń
M63: Walidacja pomiaru, efekt i koszt terapeuty</t>
  </si>
  <si>
    <t xml:space="preserve">PR35-MLP</t>
  </si>
  <si>
    <t xml:space="preserve">Zachować wcześniejsze funkcjonalności; rozszerzenia:
M62: Kontakt kontrolny, zadania i pomiary
M63: Pomiar ruchu i zdalna sesja</t>
  </si>
  <si>
    <t xml:space="preserve">M62-MLP
M63-MLP</t>
  </si>
  <si>
    <t xml:space="preserve">Płatny program/usługa/API zgodnie z klientem; Rdzeń BEZPŁATNY; płatna opieka, urządzenia, opłata za członka miesięcznie</t>
  </si>
  <si>
    <t xml:space="preserve">PR35-MVP</t>
  </si>
  <si>
    <t xml:space="preserve">M62: Dostępny interfejs i opiekun
M63: Plan terapeuty i rejestr ćwiczeń</t>
  </si>
  <si>
    <t xml:space="preserve">M62-MVP
M63-MVP</t>
  </si>
  <si>
    <t xml:space="preserve">Rdzeń BEZPŁATNY; płatna opieka, urządzenia, opłata za członka miesięcznie</t>
  </si>
  <si>
    <t xml:space="preserve">PR36-FINAL</t>
  </si>
  <si>
    <t xml:space="preserve">Użytkownicy, ubezpieczyciele, brokerzy</t>
  </si>
  <si>
    <t xml:space="preserve">Zachować wcześniejsze funkcjonalności; rozszerzenia:
M64: Nawigacja po świadczeniach wielu płatników
M65: Ograniczona usługa B2B po kwalifikacji</t>
  </si>
  <si>
    <t xml:space="preserve">M64-FINAL
M65-FINAL</t>
  </si>
  <si>
    <t xml:space="preserve">Porównanie dla użytkownika BEZPŁATNE; płatne dla partnera / B2B; przejęcie do własnego wykonania tylko po porównaniu całkowitego kosztu</t>
  </si>
  <si>
    <t xml:space="preserve">M64: Aktualne warunki i umowa; Eternal nie jest automatycznie ubezpieczycielem
M65: Podstawa prawna i przepisy AI/ubezpieczeń; możliwy STOP</t>
  </si>
  <si>
    <t xml:space="preserve">PR36-MLP</t>
  </si>
  <si>
    <t xml:space="preserve">Zachować wcześniejsze funkcjonalności; rozszerzenia:
M64: Uprawnienia do świadczeń i partner
M65: Badanie jakości i równego traktowania</t>
  </si>
  <si>
    <t xml:space="preserve">M64-MLP
M65-MLP</t>
  </si>
  <si>
    <t xml:space="preserve">Płatny program/usługa/API zgodnie z klientem; Porównanie dla użytkownika BEZPŁATNE; płatne dla partnera / B2B</t>
  </si>
  <si>
    <t xml:space="preserve">PR36-MVP</t>
  </si>
  <si>
    <t xml:space="preserve">M64: Portfel polis i porównanie
M65: Analiza wykonalności; bez scoringu produkcyjnego</t>
  </si>
  <si>
    <t xml:space="preserve">M64-MVP
M65-MVP</t>
  </si>
  <si>
    <t xml:space="preserve">Porównanie dla użytkownika BEZPŁATNE; płatne dla partnera / B2B</t>
  </si>
  <si>
    <t xml:space="preserve">PR37-FINAL</t>
  </si>
  <si>
    <t xml:space="preserve">Pracodawcy / płatnicy</t>
  </si>
  <si>
    <t xml:space="preserve">Zachować wcześniejsze funkcjonalności; rozszerzenia:
M66: Program B2B dla wielu firm
M67: Porównanie programów</t>
  </si>
  <si>
    <t xml:space="preserve">M66-FINAL
M67-FINAL</t>
  </si>
  <si>
    <t xml:space="preserve">Pracodawca B2B; rdzeń dla pracownika BEZPŁATNY; przejęcie do własnego wykonania tylko po porównaniu całkowitego kosztu</t>
  </si>
  <si>
    <t xml:space="preserve">M66: Brak indywidualnego nadzoru zdrowia przez pracodawcę
M67: Ryzyko ponownej identyfikacji i małych grup</t>
  </si>
  <si>
    <t xml:space="preserve">PR37-MLP</t>
  </si>
  <si>
    <t xml:space="preserve">Zachować wcześniejsze funkcjonalności; rozszerzenia:
M66: Usługi i świadczenia z izolacją danych
M67: Progi grup i kontrola identyfikacji</t>
  </si>
  <si>
    <t xml:space="preserve">M66-MLP
M67-MLP</t>
  </si>
  <si>
    <t xml:space="preserve">Płatny program/usługa/API zgodnie z klientem; Pracodawca B2B; rdzeń dla pracownika BEZPŁATNY</t>
  </si>
  <si>
    <t xml:space="preserve">PR37-MVP</t>
  </si>
  <si>
    <t xml:space="preserve">M66: Dobrowolny program wellness
M67: Raport z bezpiecznych agregatów</t>
  </si>
  <si>
    <t xml:space="preserve">M66-MVP
M67-MVP</t>
  </si>
  <si>
    <t xml:space="preserve">Pracodawca B2B; rdzeń dla pracownika BEZPŁATNY</t>
  </si>
  <si>
    <t xml:space="preserve">PR39-FINAL</t>
  </si>
  <si>
    <t xml:space="preserve">Eternal Universal Sync</t>
  </si>
  <si>
    <t xml:space="preserve">Produkt / moduł</t>
  </si>
  <si>
    <t xml:space="preserve">Healthtech, producenci urządzeń, kliniki; w aplikacji: użytkownik</t>
  </si>
  <si>
    <t xml:space="preserve">Podstawowa synchronizacja w aplikacji; płatne API/SDK/PMPM B2B; przejęcie do własnego wykonania tylko po porównaniu całkowitego kosztu</t>
  </si>
  <si>
    <t xml:space="preserve">PR39-MLP</t>
  </si>
  <si>
    <t xml:space="preserve">Płatny program/usługa/API zgodnie z klientem; Podstawowa synchronizacja w aplikacji; płatne API/SDK/PMPM B2B</t>
  </si>
  <si>
    <t xml:space="preserve">PR39-MVP</t>
  </si>
  <si>
    <t xml:space="preserve">Podstawowa synchronizacja w aplikacji; płatne API/SDK/PMPM B2B</t>
  </si>
  <si>
    <t xml:space="preserve">PR40-FINAL</t>
  </si>
  <si>
    <t xml:space="preserve">Użytkownik; lekarz/klinika dla płatnego przebiegu pracy</t>
  </si>
  <si>
    <t xml:space="preserve">Edukacja podstawowa; użycie / stanowisko B2B; docelowo usługa/licencja kliniczna; przejęcie do własnego wykonania tylko po porównaniu całkowitego kosztu</t>
  </si>
  <si>
    <t xml:space="preserve">PR40-MLP</t>
  </si>
  <si>
    <t xml:space="preserve">Płatny program/usługa/API zgodnie z klientem; Edukacja podstawowa; użycie / stanowisko B2B; docelowo usługa/licencja kliniczna</t>
  </si>
  <si>
    <t xml:space="preserve">PR40-MVP</t>
  </si>
  <si>
    <t xml:space="preserve">Edukacja podstawowa; użycie / stanowisko B2B; docelowo usługa/licencja kliniczna</t>
  </si>
  <si>
    <t xml:space="preserve">MP07-FINAL</t>
  </si>
  <si>
    <t xml:space="preserve">Medical Device Gateway</t>
  </si>
  <si>
    <t xml:space="preserve">Kliniki / dostawcy monitoringu zdalnego</t>
  </si>
  <si>
    <t xml:space="preserve">Zachować wcześniejsze funkcjonalności; rozszerzenia:
M32: Zarządzana flota; ODM opcjonalnie
M34: RPM wielu dostawców</t>
  </si>
  <si>
    <t xml:space="preserve">M32-FINAL
M34-FINAL</t>
  </si>
  <si>
    <t xml:space="preserve">Serwis, wkłady, opieka i licencja; własny sprzęt opcjonalny</t>
  </si>
  <si>
    <t xml:space="preserve">M32: Zgodność sprzętu, brak sieci i koszt serwisu
M34: SLA pomiaru i reakcji; brak aplikacji tylko dla potwierdzonej konfiguracji sprzętowej</t>
  </si>
  <si>
    <t xml:space="preserve">MP07-MLP</t>
  </si>
  <si>
    <t xml:space="preserve">Zachować wcześniejsze funkcjonalności; rozszerzenia:
M32: Parowanie i buforowanie offline
M34: Własny przebieg pracy i API/SDK partnera</t>
  </si>
  <si>
    <t xml:space="preserve">M32-MLP
M34-MLP</t>
  </si>
  <si>
    <t xml:space="preserve">Leasing/sprzęt + opieka/PMPM</t>
  </si>
  <si>
    <t xml:space="preserve">MP07-MVP</t>
  </si>
  <si>
    <t xml:space="preserve">M32: Telefon lub gotowy gateway
M34: RPM na platformie partnera z zespołem opieki</t>
  </si>
  <si>
    <t xml:space="preserve">M32-MVP
M34-MVP</t>
  </si>
  <si>
    <t xml:space="preserve">Pilotaż zestawu OEM + wdrożenie</t>
  </si>
  <si>
    <t xml:space="preserve">MP23-FINAL</t>
  </si>
  <si>
    <t xml:space="preserve">Station RPM Pack</t>
  </si>
  <si>
    <t xml:space="preserve">Kliniki / płatnicy</t>
  </si>
  <si>
    <t xml:space="preserve">MP23-MLP</t>
  </si>
  <si>
    <t xml:space="preserve">MP23-MVP</t>
  </si>
  <si>
    <t xml:space="preserve">PR11-FINAL</t>
  </si>
  <si>
    <t xml:space="preserve">Dom/pacjent/partner opieki</t>
  </si>
  <si>
    <t xml:space="preserve">Zachować wcześniejsze funkcjonalności; rozszerzenia:
M32: Zarządzana flota; ODM opcjonalnie
M33: Rozbudowa o potrzebną diagnostykę
M36: Dozownik ze sprawdzonym planem i zabezpieczeniem awaryjnym</t>
  </si>
  <si>
    <t xml:space="preserve">M32-FINAL
M33-FINAL
M36-FINAL</t>
  </si>
  <si>
    <t xml:space="preserve">M32: Zgodność sprzętu, brak sieci i koszt serwisu
M33: Każdy pomiar wymaga odpowiedniego urządzenia i jego wskazania
M36: Bezpieczeństwo wydania, serwis; zmiana dawki oddzielnie</t>
  </si>
  <si>
    <t xml:space="preserve">PR11-MLP</t>
  </si>
  <si>
    <t xml:space="preserve">Zachować wcześniejsze funkcjonalności; rozszerzenia:
M32: Parowanie i buforowanie offline
M33: Wspólny przebieg pomiaru
M36: Dozownik OEM z monitoringiem</t>
  </si>
  <si>
    <t xml:space="preserve">M32-MLP
M33-MLP
M36-MLP</t>
  </si>
  <si>
    <t xml:space="preserve">PR11-MVP</t>
  </si>
  <si>
    <t xml:space="preserve">M32: Telefon lub gotowy gateway
M33: Zestaw gotowych urządzeń pomiarowych
M36: Przypomnienia; bez fizycznego dozowania</t>
  </si>
  <si>
    <t xml:space="preserve">M32-MVP
M33-MVP
M36-MVP</t>
  </si>
  <si>
    <t xml:space="preserve">PR12-FINAL</t>
  </si>
  <si>
    <t xml:space="preserve">Przewlekle chorzy, kliniki, płatnik</t>
  </si>
  <si>
    <t xml:space="preserve">Zachować wcześniejsze funkcjonalności; rozszerzenia:
M34: RPM wielu dostawców</t>
  </si>
  <si>
    <t xml:space="preserve">M34: SLA pomiaru i reakcji; brak aplikacji tylko dla potwierdzonej konfiguracji sprzętowej</t>
  </si>
  <si>
    <t xml:space="preserve">PR12-MLP</t>
  </si>
  <si>
    <t xml:space="preserve">Zachować wcześniejsze funkcjonalności; rozszerzenia:
M34: Własny przebieg pracy i API/SDK partnera</t>
  </si>
  <si>
    <t xml:space="preserve">PR12-MVP</t>
  </si>
  <si>
    <t xml:space="preserve">M34: RPM na platformie partnera z zespołem opieki</t>
  </si>
  <si>
    <t xml:space="preserve">PR13-FINAL</t>
  </si>
  <si>
    <t xml:space="preserve">Kliniki, sieci, opieka wiejska i domowa</t>
  </si>
  <si>
    <t xml:space="preserve">Zachować wcześniejsze funkcjonalności; rozszerzenia:
M35: Sieć podów: partner lub własna placówka</t>
  </si>
  <si>
    <t xml:space="preserve">M35: Obłożenie, personel, marża; pod nie zastępuje organizacji kliniki/szpitala</t>
  </si>
  <si>
    <t xml:space="preserve">PR13-MLP</t>
  </si>
  <si>
    <t xml:space="preserve">Zachować wcześniejsze funkcjonalności; rozszerzenia:
M35: Punkt obsługi z gateway i badaniami</t>
  </si>
  <si>
    <t xml:space="preserve">PR13-MVP</t>
  </si>
  <si>
    <t xml:space="preserve">M35: Care Pod jako zestaw w placówce partnera</t>
  </si>
  <si>
    <t xml:space="preserve">PR14-FINAL</t>
  </si>
  <si>
    <t xml:space="preserve">Zachować wcześniejsze funkcjonalności; rozszerzenia:
M37: Wybrane czujniki / lab-on-chip po walidacji</t>
  </si>
  <si>
    <t xml:space="preserve">M37: Koszt testu i dojrzałość; własny lab-on-chip opcją R&amp;D</t>
  </si>
  <si>
    <t xml:space="preserve">PR14-MLP</t>
  </si>
  <si>
    <t xml:space="preserve">Zachować wcześniejsze funkcjonalności; rozszerzenia:
M37: Dostępny analizator POCT OEM</t>
  </si>
  <si>
    <t xml:space="preserve">PR14-MVP</t>
  </si>
  <si>
    <t xml:space="preserve">M37: Test partnera i import wyniku</t>
  </si>
  <si>
    <t xml:space="preserve">PR15-FINAL</t>
  </si>
  <si>
    <t xml:space="preserve">Seniorzy, rehabilitacja, opiekunowie</t>
  </si>
  <si>
    <t xml:space="preserve">Zachować wcześniejsze funkcjonalności; rozszerzenia:
M38: Program bezpieczeństwa i rehabilitacji</t>
  </si>
  <si>
    <t xml:space="preserve">M38: Fałszywe alarmy, odbiór przez opiekuna i efekt programu</t>
  </si>
  <si>
    <t xml:space="preserve">PR15-MLP</t>
  </si>
  <si>
    <t xml:space="preserve">Zachować wcześniejsze funkcjonalności; rozszerzenia:
M38: Czujniki OEM i ocena ruchu</t>
  </si>
  <si>
    <t xml:space="preserve">PR15-MVP</t>
  </si>
  <si>
    <t xml:space="preserve">M38: Ćwiczenia i kontakt kontrolny opiekuna</t>
  </si>
  <si>
    <t xml:space="preserve">MP24-FINAL</t>
  </si>
  <si>
    <t xml:space="preserve">Capsule Data Gateway</t>
  </si>
  <si>
    <t xml:space="preserve">Producenci urządzeń / kliniki</t>
  </si>
  <si>
    <t xml:space="preserve">Zachować wcześniejsze funkcjonalności; rozszerzenia:
M39: Protokół wielu dostawców</t>
  </si>
  <si>
    <t xml:space="preserve">Licencja / spółka JV / usługa dla dopuszczonego urządzenia</t>
  </si>
  <si>
    <t xml:space="preserve">M39: Umowa OEM i bezpieczeństwo; bez własnego implantu</t>
  </si>
  <si>
    <t xml:space="preserve">MP24-MLP</t>
  </si>
  <si>
    <t xml:space="preserve">Zachować wcześniejsze funkcjonalności; rozszerzenia:
M39: Adapter partnera i metadane firmware</t>
  </si>
  <si>
    <t xml:space="preserve">B2B/API, partnerstwo sprzętowe lub badanie</t>
  </si>
  <si>
    <t xml:space="preserve">MP24-MVP</t>
  </si>
  <si>
    <t xml:space="preserve">M39: Rejestr urządzeń i raportów</t>
  </si>
  <si>
    <t xml:space="preserve">Dostęp do raportu / integracja partnerska</t>
  </si>
  <si>
    <t xml:space="preserve">PR16-FINAL</t>
  </si>
  <si>
    <t xml:space="preserve">Użytkownik/klinika/R&amp;D</t>
  </si>
  <si>
    <t xml:space="preserve">PR16-MLP</t>
  </si>
  <si>
    <t xml:space="preserve">PR16-MVP</t>
  </si>
  <si>
    <t xml:space="preserve">PR17-FINAL</t>
  </si>
  <si>
    <t xml:space="preserve">B2C / weterynaria / pilotaż kliniczny</t>
  </si>
  <si>
    <t xml:space="preserve">Zachować wcześniejsze funkcjonalności; rozszerzenia:
M40: Tag sensoryczny OEM/licencja; implant osobno</t>
  </si>
  <si>
    <t xml:space="preserve">M40: Identyfikator nie jest implantem; biokompatybilność wymaga dowodu</t>
  </si>
  <si>
    <t xml:space="preserve">PR17-MLP</t>
  </si>
  <si>
    <t xml:space="preserve">Zachować wcześniejsze funkcjonalności; rozszerzenia:
M40: Pilot partnerskiego Bio-Tag</t>
  </si>
  <si>
    <t xml:space="preserve">PR17-MVP</t>
  </si>
  <si>
    <t xml:space="preserve">M40: Zewnętrzny identyfikator QR/NFC</t>
  </si>
  <si>
    <t xml:space="preserve">PR18-FINAL</t>
  </si>
  <si>
    <t xml:space="preserve">Wybrane wskazania kliniczne/R&amp;D</t>
  </si>
  <si>
    <t xml:space="preserve">Zachować wcześniejsze funkcjonalności; rozszerzenia:
M41: Dodatkowe zwalidowane biomarkery</t>
  </si>
  <si>
    <t xml:space="preserve">M41: Potwierdzony czujnik; brak założenia pomiaru dowolnego hormonu</t>
  </si>
  <si>
    <t xml:space="preserve">PR18-MLP</t>
  </si>
  <si>
    <t xml:space="preserve">Zachować wcześniejsze funkcjonalności; rozszerzenia:
M41: Strumień konkretnego biomarkera</t>
  </si>
  <si>
    <t xml:space="preserve">PR18-MVP</t>
  </si>
  <si>
    <t xml:space="preserve">M41: Raport z dostępnego sensora</t>
  </si>
  <si>
    <t xml:space="preserve">PR19-FINAL</t>
  </si>
  <si>
    <t xml:space="preserve">Zdrowie psychiczne / neurologia / R&amp;D</t>
  </si>
  <si>
    <t xml:space="preserve">Zachować wcześniejsze funkcjonalności; rozszerzenia:
M42: BCI kliniczne/terapia z partnerem</t>
  </si>
  <si>
    <t xml:space="preserve">M42: Jakość sygnału; implant i stymulacja jako odrębne projekty</t>
  </si>
  <si>
    <t xml:space="preserve">PR19-MLP</t>
  </si>
  <si>
    <t xml:space="preserve">Zachować wcześniejsze funkcjonalności; rozszerzenia:
M42: Nieinwazyjny SDK i program partnera</t>
  </si>
  <si>
    <t xml:space="preserve">PR19-MVP</t>
  </si>
  <si>
    <t xml:space="preserve">M42: Import sesji EEG/EMG do badania</t>
  </si>
  <si>
    <t xml:space="preserve">PR20-FINAL</t>
  </si>
  <si>
    <t xml:space="preserve">Gastroenterologia / diagnostyka / R&amp;D</t>
  </si>
  <si>
    <t xml:space="preserve">Zachować wcześniejsze funkcjonalności; rozszerzenia:
M43: Licencja lub wspólny rozwój</t>
  </si>
  <si>
    <t xml:space="preserve">M43: Prawa do danych; brak założenia otwartego surowego strumienia</t>
  </si>
  <si>
    <t xml:space="preserve">PR20-MLP</t>
  </si>
  <si>
    <t xml:space="preserve">Zachować wcześniejsze funkcjonalności; rozszerzenia:
M43: Dane istniejącego systemu OEM</t>
  </si>
  <si>
    <t xml:space="preserve">PR20-MVP</t>
  </si>
  <si>
    <t xml:space="preserve">M43: Partner badania kapsułkowego i raport</t>
  </si>
  <si>
    <t xml:space="preserve">PR21-FINAL</t>
  </si>
  <si>
    <t xml:space="preserve">R&amp;D konsorcja</t>
  </si>
  <si>
    <t xml:space="preserve">Zachować wcześniejsze funkcjonalności; rozszerzenia:
M44: Terapia autonomiczna dopiero po dowodzie; brak gotowego wykonawcy</t>
  </si>
  <si>
    <t xml:space="preserve">Licencja/usługa dopiero po wynikach; program może pozostać R&amp;D</t>
  </si>
  <si>
    <t xml:space="preserve">M44: Możliwy STOP; R&amp;D nie jest gotowym produktem klinicznym</t>
  </si>
  <si>
    <t xml:space="preserve">PR21-MLP</t>
  </si>
  <si>
    <t xml:space="preserve">Zachować wcześniejsze funkcjonalności; rozszerzenia:
M44: Przedkliniczny eksperyment z partnerem</t>
  </si>
  <si>
    <t xml:space="preserve">Kontrakt R&amp;D, kamienie milowe, wspólny rozwój</t>
  </si>
  <si>
    <t xml:space="preserve">PR21-MVP</t>
  </si>
  <si>
    <t xml:space="preserve">M44: Hipotezy, symulacja i protokół</t>
  </si>
  <si>
    <t xml:space="preserve">Grant/usługa przygotowania badania; nie prognozować sprzedaży klinicznej</t>
  </si>
  <si>
    <t xml:space="preserve">MP16-FINAL</t>
  </si>
  <si>
    <t xml:space="preserve">Twin Profile</t>
  </si>
  <si>
    <t xml:space="preserve">Zachować wcześniejsze funkcjonalności; rozszerzenia:
M45: Przenośny profil całego ekosystemu</t>
  </si>
  <si>
    <t xml:space="preserve">M45: Pochodzenie i jakość danych; profil nie symuluje fizjologii</t>
  </si>
  <si>
    <t xml:space="preserve">MP16-MLP</t>
  </si>
  <si>
    <t xml:space="preserve">Zachować wcześniejsze funkcjonalności; rozszerzenia:
M45: Profil wersjonowany z wielu źródeł</t>
  </si>
  <si>
    <t xml:space="preserve">MP16-MVP</t>
  </si>
  <si>
    <t xml:space="preserve">M45: Digital Shadow: historia faktów</t>
  </si>
  <si>
    <t xml:space="preserve">MP17-FINAL</t>
  </si>
  <si>
    <t xml:space="preserve">Twin Simulation Pack</t>
  </si>
  <si>
    <t xml:space="preserve">Specjaliści / badania / nisze B2C</t>
  </si>
  <si>
    <t xml:space="preserve">Zachować wcześniejsze funkcjonalności; rozszerzenia:
M46: Wiele wymiennych modeli wellness
M47: Modele specjalistyczne po walidacji</t>
  </si>
  <si>
    <t xml:space="preserve">M46-FINAL
M47-FINAL</t>
  </si>
  <si>
    <t xml:space="preserve">M46: Kalibracja i niepewność; bez nieuprawnionej diagnozy
M47: Dane i dowód dla konkretnego modelu; symulacja nie jest testem laboratoryjnym</t>
  </si>
  <si>
    <t xml:space="preserve">MP17-MLP</t>
  </si>
  <si>
    <t xml:space="preserve">Zachować wcześniejsze funkcjonalności; rozszerzenia:
M46: Scenariusze „co jeśli" w wellness z założeniami
M47: Badanie jednego modelu narządu/choroby</t>
  </si>
  <si>
    <t xml:space="preserve">M46-MLP
M47-MLP</t>
  </si>
  <si>
    <t xml:space="preserve">MP17-MVP</t>
  </si>
  <si>
    <t xml:space="preserve">M46: Wykresy i porównanie okresów
M47: Rejestr modeli i demonstrator badawczy</t>
  </si>
  <si>
    <t xml:space="preserve">M46-MVP
M47-MVP</t>
  </si>
  <si>
    <t xml:space="preserve">MP21-FINAL</t>
  </si>
  <si>
    <t xml:space="preserve">Research Cohort Builder</t>
  </si>
  <si>
    <t xml:space="preserve">Farmacja / badania</t>
  </si>
  <si>
    <t xml:space="preserve">Zachować wcześniejsze funkcjonalności; rozszerzenia:
M68: Bliźniak populacyjny i kontrolowane użycie wtórne</t>
  </si>
  <si>
    <t xml:space="preserve">M68: Cel badania, jakość i prywatność; federacja nie oznacza anonimowości</t>
  </si>
  <si>
    <t xml:space="preserve">MP21-MLP</t>
  </si>
  <si>
    <t xml:space="preserve">Zachować wcześniejsze funkcjonalności; rozszerzenia:
M68: Pilotaż kohortowy/federacyjny</t>
  </si>
  <si>
    <t xml:space="preserve">MP21-MVP</t>
  </si>
  <si>
    <t xml:space="preserve">M68: Protokół badawczy i dozwolony zbiór</t>
  </si>
  <si>
    <t xml:space="preserve">PR22-FINAL</t>
  </si>
  <si>
    <t xml:space="preserve">Każdy użytkownik</t>
  </si>
  <si>
    <t xml:space="preserve">Wersja podstawowa BEZPŁATNA; przejęcie do własnego wykonania tylko po porównaniu całkowitego kosztu</t>
  </si>
  <si>
    <t xml:space="preserve">PR22-MLP</t>
  </si>
  <si>
    <t xml:space="preserve">Płatny program/usługa/API zgodnie z klientem; Wersja podstawowa BEZPŁATNA</t>
  </si>
  <si>
    <t xml:space="preserve">PR22-MVP</t>
  </si>
  <si>
    <t xml:space="preserve">Wersja podstawowa BEZPŁATNA</t>
  </si>
  <si>
    <t xml:space="preserve">PR23-FINAL</t>
  </si>
  <si>
    <t xml:space="preserve">Pakiety specjalizacyjne B2C</t>
  </si>
  <si>
    <t xml:space="preserve">Zachować wcześniejsze funkcjonalności; rozszerzenia:
M46: Wiele wymiennych modeli wellness</t>
  </si>
  <si>
    <t xml:space="preserve">Wersja podstawowa BEZPŁATNA + płatne efekty specjalistyczne i badania partnerów; przejęcie do własnego wykonania tylko po porównaniu całkowitego kosztu</t>
  </si>
  <si>
    <t xml:space="preserve">M46: Kalibracja i niepewność; bez nieuprawnionej diagnozy</t>
  </si>
  <si>
    <t xml:space="preserve">PR23-MLP</t>
  </si>
  <si>
    <t xml:space="preserve">Zachować wcześniejsze funkcjonalności; rozszerzenia:
M46: Scenariusze „co jeśli" w wellness z założeniami</t>
  </si>
  <si>
    <t xml:space="preserve">Płatny program/usługa/API zgodnie z klientem; Wersja podstawowa BEZPŁATNA + płatne efekty specjalistyczne i badania partnerów</t>
  </si>
  <si>
    <t xml:space="preserve">PR23-MVP</t>
  </si>
  <si>
    <t xml:space="preserve">M46: Wykresy i porównanie okresów</t>
  </si>
  <si>
    <t xml:space="preserve">Wersja podstawowa BEZPŁATNA + płatne efekty specjalistyczne i badania partnerów</t>
  </si>
  <si>
    <t xml:space="preserve">PR24-FINAL</t>
  </si>
  <si>
    <t xml:space="preserve">Kliniki, choroby przewlekłe, farmacja i badania</t>
  </si>
  <si>
    <t xml:space="preserve">Zachować wcześniejsze funkcjonalności; rozszerzenia:
M47: Modele specjalistyczne po walidacji</t>
  </si>
  <si>
    <t xml:space="preserve">M47: Dane i dowód dla konkretnego modelu; symulacja nie jest testem laboratoryjnym</t>
  </si>
  <si>
    <t xml:space="preserve">PR24-MLP</t>
  </si>
  <si>
    <t xml:space="preserve">Zachować wcześniejsze funkcjonalności; rozszerzenia:
M47: Badanie jednego modelu narządu/choroby</t>
  </si>
  <si>
    <t xml:space="preserve">PR24-MVP</t>
  </si>
  <si>
    <t xml:space="preserve">M47: Rejestr modeli i demonstrator badawczy</t>
  </si>
  <si>
    <t xml:space="preserve">PR25-FINAL</t>
  </si>
  <si>
    <t xml:space="preserve">Kliniki/specjaliści</t>
  </si>
  <si>
    <t xml:space="preserve">Zachować wcześniejsze funkcjonalności; rozszerzenia:
M48: Bliźniak kliniczny wspierający określoną decyzję</t>
  </si>
  <si>
    <t xml:space="preserve">M48: Dowód kliniczny, QMS i nadzór; model może pozostać partnerski</t>
  </si>
  <si>
    <t xml:space="preserve">PR25-MLP</t>
  </si>
  <si>
    <t xml:space="preserve">Zachować wcześniejsze funkcjonalności; rozszerzenia:
M48: Kontrolowane badanie modelu partnera</t>
  </si>
  <si>
    <t xml:space="preserve">PR25-MVP</t>
  </si>
  <si>
    <t xml:space="preserve">M48: Wskazanie i protokół walidacji</t>
  </si>
  <si>
    <t xml:space="preserve">PR26-FINAL</t>
  </si>
  <si>
    <t xml:space="preserve">Użytkownik/rodzina</t>
  </si>
  <si>
    <t xml:space="preserve">Zachować wcześniejsze funkcjonalności; rozszerzenia:
M49: Długoterminowy dostęp i następstwo</t>
  </si>
  <si>
    <t xml:space="preserve">Przechowywanie / usługa / jednorazowy pakiet dziedzictwa; podstawowy eksport BEZPŁATNY; przejęcie do własnego wykonania tylko po porównaniu całkowitego kosztu</t>
  </si>
  <si>
    <t xml:space="preserve">M49: Upoważnienia, przenośność i finansowanie retencji</t>
  </si>
  <si>
    <t xml:space="preserve">PR26-MLP</t>
  </si>
  <si>
    <t xml:space="preserve">Zachować wcześniejsze funkcjonalności; rozszerzenia:
M49: Panel upoważnień do archiwum</t>
  </si>
  <si>
    <t xml:space="preserve">Płatny program/usługa/API zgodnie z klientem; Przechowywanie / usługa / jednorazowy pakiet dziedzictwa; podstawowy eksport BEZPŁATNY</t>
  </si>
  <si>
    <t xml:space="preserve">PR26-MVP</t>
  </si>
  <si>
    <t xml:space="preserve">M49: Eksport i archiwum</t>
  </si>
  <si>
    <t xml:space="preserve">Przechowywanie / usługa / jednorazowy pakiet dziedzictwa; podstawowy eksport BEZPŁATNY</t>
  </si>
  <si>
    <t xml:space="preserve">PR38-FINAL</t>
  </si>
  <si>
    <t xml:space="preserve">Badania / farmacja / zdrowie publiczne</t>
  </si>
  <si>
    <t xml:space="preserve">PR38-MLP</t>
  </si>
  <si>
    <t xml:space="preserve">PR38-MVP</t>
  </si>
  <si>
    <t xml:space="preserve">PR27-FINAL</t>
  </si>
  <si>
    <t xml:space="preserve">B2C / społeczność / edukatorzy</t>
  </si>
  <si>
    <t xml:space="preserve">Zachować wcześniejsze funkcjonalności; rozszerzenia:
M50: Sieć społeczności i programów</t>
  </si>
  <si>
    <t xml:space="preserve">Społeczność BEZPŁATNA; płatne wydarzenia i programy; przejęcie do własnego wykonania tylko po porównaniu całkowitego kosztu</t>
  </si>
  <si>
    <t xml:space="preserve">M50: Moderacja, jakość treści i retencja</t>
  </si>
  <si>
    <t xml:space="preserve">PR27-MLP</t>
  </si>
  <si>
    <t xml:space="preserve">Zachować wcześniejsze funkcjonalności; rozszerzenia:
M50: Wyzwania i wydarzenia</t>
  </si>
  <si>
    <t xml:space="preserve">Płatny program/usługa/API zgodnie z klientem; Społeczność BEZPŁATNA; płatne wydarzenia i programy</t>
  </si>
  <si>
    <t xml:space="preserve">PR27-MVP</t>
  </si>
  <si>
    <t xml:space="preserve">M50: Treści i moderowana grupa</t>
  </si>
  <si>
    <t xml:space="preserve">Społeczność BEZPŁATNA; płatne wydarzenia i programy</t>
  </si>
  <si>
    <t xml:space="preserve">PR28-FINAL</t>
  </si>
  <si>
    <t xml:space="preserve">Edukacja i rehabilitacja B2C/B2B</t>
  </si>
  <si>
    <t xml:space="preserve">Zachować wcześniejsze funkcjonalności; rozszerzenia:
M51: Wieloplatformowe przestrzenie edukacji</t>
  </si>
  <si>
    <t xml:space="preserve">Licencja na treści, wydarzenia lub dla przedsiębiorstw; przejęcie do własnego wykonania tylko po porównaniu całkowitego kosztu</t>
  </si>
  <si>
    <t xml:space="preserve">M51: Użyteczność; własne gogle zbędne na start</t>
  </si>
  <si>
    <t xml:space="preserve">PR28-MLP</t>
  </si>
  <si>
    <t xml:space="preserve">Zachować wcześniejsze funkcjonalności; rozszerzenia:
M51: XR na gotowym sprzęcie</t>
  </si>
  <si>
    <t xml:space="preserve">Płatny program/usługa/API zgodnie z klientem; Licencja na treści, wydarzenia lub dla przedsiębiorstw</t>
  </si>
  <si>
    <t xml:space="preserve">PR28-MVP</t>
  </si>
  <si>
    <t xml:space="preserve">M51: Wizualizacja w przeglądarce</t>
  </si>
  <si>
    <t xml:space="preserve">Licencja na treści, wydarzenia lub dla przedsiębiorstw</t>
  </si>
  <si>
    <t xml:space="preserve">PR29-FINAL</t>
  </si>
  <si>
    <t xml:space="preserve">Kliniki / terapia / edukacja</t>
  </si>
  <si>
    <t xml:space="preserve">Zachować wcześniejsze funkcjonalności; rozszerzenia:
M52: Zweryfikowana terapia VR i dokumentacja</t>
  </si>
  <si>
    <t xml:space="preserve">B2B / usługa / licencja; przejęcie do własnego wykonania tylko po porównaniu całkowitego kosztu</t>
  </si>
  <si>
    <t xml:space="preserve">M52: Skuteczność i kwalifikacja terapii; holografia nie jest warunkiem</t>
  </si>
  <si>
    <t xml:space="preserve">PR29-MLP</t>
  </si>
  <si>
    <t xml:space="preserve">Zachować wcześniejsze funkcjonalności; rozszerzenia:
M52: Program VR partnera</t>
  </si>
  <si>
    <t xml:space="preserve">Płatny program/usługa/API zgodnie z klientem; B2B / usługa / licencja</t>
  </si>
  <si>
    <t xml:space="preserve">PR29-MVP</t>
  </si>
  <si>
    <t xml:space="preserve">M52: Zdalna obecność specjalisty</t>
  </si>
  <si>
    <t xml:space="preserve">B2B / usługa / licencja</t>
  </si>
  <si>
    <t xml:space="preserve">MP25-FINAL</t>
  </si>
  <si>
    <t xml:space="preserve">Forge Scout / Deal Room</t>
  </si>
  <si>
    <t xml:space="preserve">Startupy / korporacje</t>
  </si>
  <si>
    <t xml:space="preserve">Zachować wcześniejsze funkcjonalności; rozszerzenia:
M53: Portfel projektów i licencji
M55: Licencjonowanie technologii</t>
  </si>
  <si>
    <t xml:space="preserve">M53-FINAL
M55-FINAL</t>
  </si>
  <si>
    <t xml:space="preserve">M53: Prawa IP i efekt pilotaży
M55: Sprawdzone prawa do IP/API przed dopuszczeniem</t>
  </si>
  <si>
    <t xml:space="preserve">MP25-MLP</t>
  </si>
  <si>
    <t xml:space="preserve">Zachować wcześniejsze funkcjonalności; rozszerzenia:
M53: Mentoring i pilotaże
M55: Sandbox i transakcje</t>
  </si>
  <si>
    <t xml:space="preserve">M53-MLP
M55-MLP</t>
  </si>
  <si>
    <t xml:space="preserve">MP25-MVP</t>
  </si>
  <si>
    <t xml:space="preserve">M53: Formularz zgłoszenia i ręczna ocena
M55: Katalog i ręczne due diligence</t>
  </si>
  <si>
    <t xml:space="preserve">M53-MVP
M55-MVP</t>
  </si>
  <si>
    <t xml:space="preserve">PR30-FINAL</t>
  </si>
  <si>
    <t xml:space="preserve">Startupy / naukowcy / zespoły</t>
  </si>
  <si>
    <t xml:space="preserve">Zachować wcześniejsze funkcjonalności; rozszerzenia:
M53: Portfel projektów i licencji
M54: Koordynacja programów badawczych</t>
  </si>
  <si>
    <t xml:space="preserve">M53-FINAL
M54-FINAL</t>
  </si>
  <si>
    <t xml:space="preserve">Sponsor / grant / usługa / udziały; przejęcie do własnego wykonania tylko po porównaniu całkowitego kosztu</t>
  </si>
  <si>
    <t xml:space="preserve">M53: Prawa IP i efekt pilotaży
M54: Warunki konkursu; grant nie jest przychodem gwarantowanym</t>
  </si>
  <si>
    <t xml:space="preserve">PR30-MLP</t>
  </si>
  <si>
    <t xml:space="preserve">Zachować wcześniejsze funkcjonalności; rozszerzenia:
M53: Mentoring i pilotaże
M54: Obieg budżetu i konsorcjum</t>
  </si>
  <si>
    <t xml:space="preserve">M53-MLP
M54-MLP</t>
  </si>
  <si>
    <t xml:space="preserve">Płatny program/usługa/API zgodnie z klientem; Sponsor / grant / usługa / udziały</t>
  </si>
  <si>
    <t xml:space="preserve">PR30-MVP</t>
  </si>
  <si>
    <t xml:space="preserve">M53: Formularz zgłoszenia i ręczna ocena
M54: Rejestr konkursów i dokumentacja</t>
  </si>
  <si>
    <t xml:space="preserve">M53-MVP
M54-MVP</t>
  </si>
  <si>
    <t xml:space="preserve">Sponsor / grant / usługa / udziały</t>
  </si>
  <si>
    <t xml:space="preserve">MP18-FINAL</t>
  </si>
  <si>
    <t xml:space="preserve">Dostawcy</t>
  </si>
  <si>
    <t xml:space="preserve">Zachować wcześniejsze funkcjonalności; rozszerzenia:
M56: Eternal Compatible i monitoring</t>
  </si>
  <si>
    <t xml:space="preserve">M56: Kompatybilność techniczna nie jest certyfikacją medyczną</t>
  </si>
  <si>
    <t xml:space="preserve">MP18-MLP</t>
  </si>
  <si>
    <t xml:space="preserve">Zachować wcześniejsze funkcjonalności; rozszerzenia:
M56: Automatyczne testy kontraktów</t>
  </si>
  <si>
    <t xml:space="preserve">MP18-MVP</t>
  </si>
  <si>
    <t xml:space="preserve">M56: Specyfikacja i ręczny test adaptera</t>
  </si>
  <si>
    <t xml:space="preserve">MP19-FINAL</t>
  </si>
  <si>
    <t xml:space="preserve">Provider Registry / Switchboard</t>
  </si>
  <si>
    <t xml:space="preserve">Przedsiębiorstwa / wewnętrzne</t>
  </si>
  <si>
    <t xml:space="preserve">Zachować wcześniejsze funkcjonalności; rozszerzenia:
M57: Marketplace wymiennych usług i modeli</t>
  </si>
  <si>
    <t xml:space="preserve">M57: Ten sam kontrakt funkcjonalny; dostęp do usługi nie daje praw do IP</t>
  </si>
  <si>
    <t xml:space="preserve">MP19-MLP</t>
  </si>
  <si>
    <t xml:space="preserve">Zachować wcześniejsze funkcjonalności; rozszerzenia:
M57: Kierowanie oraz pomiar jakości i kosztów</t>
  </si>
  <si>
    <t xml:space="preserve">MP19-MVP</t>
  </si>
  <si>
    <t xml:space="preserve">M57: Rejestr wykonawców i wybór ręczny</t>
  </si>
  <si>
    <t xml:space="preserve">PR31-FINAL</t>
  </si>
  <si>
    <t xml:space="preserve">Vendorzy/startupy/klienci Eternal</t>
  </si>
  <si>
    <t xml:space="preserve">Zachować wcześniejsze funkcjonalności; rozszerzenia:
M55: Licencjonowanie technologii
M57: Marketplace wymiennych usług i modeli</t>
  </si>
  <si>
    <t xml:space="preserve">M55-FINAL
M57-FINAL</t>
  </si>
  <si>
    <t xml:space="preserve">Prowizja / certyfikacja / API / licencjonowanie / udziały; przejęcie do własnego wykonania tylko po porównaniu całkowitego kosztu</t>
  </si>
  <si>
    <t xml:space="preserve">M55: Sprawdzone prawa do IP/API przed dopuszczeniem
M57: Ten sam kontrakt funkcjonalny; dostęp do usługi nie daje praw do IP</t>
  </si>
  <si>
    <t xml:space="preserve">PR31-MLP</t>
  </si>
  <si>
    <t xml:space="preserve">Zachować wcześniejsze funkcjonalności; rozszerzenia:
M55: Sandbox i transakcje
M57: Kierowanie oraz pomiar jakości i kosztów</t>
  </si>
  <si>
    <t xml:space="preserve">M55-MLP
M57-MLP</t>
  </si>
  <si>
    <t xml:space="preserve">Płatny program/usługa/API zgodnie z klientem; Prowizja / certyfikacja / API / licencjonowanie / udziały</t>
  </si>
  <si>
    <t xml:space="preserve">PR31-MVP</t>
  </si>
  <si>
    <t xml:space="preserve">M55: Katalog i ręczne due diligence
M57: Rejestr wykonawców i wybór ręczny</t>
  </si>
  <si>
    <t xml:space="preserve">M55-MVP
M57-MVP</t>
  </si>
  <si>
    <t xml:space="preserve">Prowizja / certyfikacja / API / licencjonowanie / udziały</t>
  </si>
  <si>
    <t xml:space="preserve">PR32-FINAL</t>
  </si>
  <si>
    <t xml:space="preserve">Dostawcy urządzeń i oprogramowania</t>
  </si>
  <si>
    <t xml:space="preserve">Certyfikacja + coroczne odnowienie + wsparcie; przejęcie do własnego wykonania tylko po porównaniu całkowitego kosztu</t>
  </si>
  <si>
    <t xml:space="preserve">PR32-MLP</t>
  </si>
  <si>
    <t xml:space="preserve">Płatny program/usługa/API zgodnie z klientem; Certyfikacja + coroczne odnowienie + wsparcie</t>
  </si>
  <si>
    <t xml:space="preserve">PR32-MVP</t>
  </si>
  <si>
    <t xml:space="preserve">Certyfikacja + coroczne odnowienie + wsparcie</t>
  </si>
  <si>
    <t xml:space="preserve">Komponenty wykonawcze i klasa pracy AI (arkusze 35 i 52)</t>
  </si>
  <si>
    <t xml:space="preserve">ID</t>
  </si>
  <si>
    <t xml:space="preserve">Warstwa</t>
  </si>
  <si>
    <t xml:space="preserve">Nazwa</t>
  </si>
  <si>
    <t xml:space="preserve">Funkcja</t>
  </si>
  <si>
    <t xml:space="preserve">Model wykonania (arkusz 35)</t>
  </si>
  <si>
    <t xml:space="preserve">Kandydat / wariant</t>
  </si>
  <si>
    <t xml:space="preserve">Klasa pracy AI dla komponentu</t>
  </si>
  <si>
    <t xml:space="preserve">Co musi dodać Eternal (arkusz 52)</t>
  </si>
  <si>
    <t xml:space="preserve">Najwcześniejszy etap (arkusz 52)</t>
  </si>
  <si>
    <t xml:space="preserve">Status (arkusz 52)</t>
  </si>
  <si>
    <t xml:space="preserve">INF01</t>
  </si>
  <si>
    <t xml:space="preserve">Infrastruktura</t>
  </si>
  <si>
    <t xml:space="preserve">Środowisko wykonawcze</t>
  </si>
  <si>
    <t xml:space="preserve">Uruchamianie API i zadań</t>
  </si>
  <si>
    <t xml:space="preserve">USŁUGA / OSS</t>
  </si>
  <si>
    <t xml:space="preserve">Kontenery zarządzane; własny klaster dopiero przy potrzebie</t>
  </si>
  <si>
    <t xml:space="preserve">AI pisze adapter; człowiek: wybór dostawcy, konto, umowa lub licencja</t>
  </si>
  <si>
    <t xml:space="preserve">Przenośny obraz i konfiguracja, żeby przeniesienie było zmianą środowiska, a nie przepisaniem</t>
  </si>
  <si>
    <t xml:space="preserve">Klasa wykonania; dostawca do wyboru</t>
  </si>
  <si>
    <t xml:space="preserve">INF02</t>
  </si>
  <si>
    <t xml:space="preserve">Baza transakcyjna</t>
  </si>
  <si>
    <t xml:space="preserve">Konta, rekordy i konfiguracje</t>
  </si>
  <si>
    <t xml:space="preserve">Relacyjna baza zarządzana; własne utrzymanie opcjonalne</t>
  </si>
  <si>
    <t xml:space="preserve">Schemat, klucze logiczne, migracje, polityka retencji</t>
  </si>
  <si>
    <t xml:space="preserve">Klasa wykonania</t>
  </si>
  <si>
    <t xml:space="preserve">INF03</t>
  </si>
  <si>
    <t xml:space="preserve">Magazyn plików</t>
  </si>
  <si>
    <t xml:space="preserve">Dokumenty, audio, obrazy</t>
  </si>
  <si>
    <t xml:space="preserve">Magazyn obiektowy z wersjami</t>
  </si>
  <si>
    <t xml:space="preserve">Powiązanie pliku z rekordem, uprawnienia, retencja, usunięcie na żądanie</t>
  </si>
  <si>
    <t xml:space="preserve">INF04</t>
  </si>
  <si>
    <t xml:space="preserve">Kolejka i harmonogram</t>
  </si>
  <si>
    <t xml:space="preserve">Ponowienia, importy, długie zadania</t>
  </si>
  <si>
    <t xml:space="preserve">Kolejka zarządzana lub silnik zadań OSS</t>
  </si>
  <si>
    <t xml:space="preserve">Priorytety, limity, obsługa zadania, które nie może się powtórzyć</t>
  </si>
  <si>
    <t xml:space="preserve">INF05</t>
  </si>
  <si>
    <t xml:space="preserve">API Gateway</t>
  </si>
  <si>
    <t xml:space="preserve">Uwierzytelnianie, limity i trasy</t>
  </si>
  <si>
    <t xml:space="preserve">Zarządzana brama lub odwrotne proxy</t>
  </si>
  <si>
    <t xml:space="preserve">Egzekwowanie zgody i celu — brama sprawdza token, nie podstawę prawną</t>
  </si>
  <si>
    <t xml:space="preserve">INF06</t>
  </si>
  <si>
    <t xml:space="preserve">Klucze i sekrety</t>
  </si>
  <si>
    <t xml:space="preserve">Szyfrowanie i rotacja</t>
  </si>
  <si>
    <t xml:space="preserve">KMS; sejf; HSM gdy uzasadniony</t>
  </si>
  <si>
    <t xml:space="preserve">Procedura rotacji i odcięcia dostawcy bez przestoju</t>
  </si>
  <si>
    <t xml:space="preserve">INF07</t>
  </si>
  <si>
    <t xml:space="preserve">Telemetria techniczna</t>
  </si>
  <si>
    <t xml:space="preserve">Metryki, logi, ślady</t>
  </si>
  <si>
    <t xml:space="preserve">OpenTelemetry z wymiennym backendem</t>
  </si>
  <si>
    <t xml:space="preserve">Definicja tego, co jest incydentem w rozumieniu danych zdrowotnych</t>
  </si>
  <si>
    <t xml:space="preserve">INF08</t>
  </si>
  <si>
    <t xml:space="preserve">Kopie zapasowe i odtwarzanie</t>
  </si>
  <si>
    <t xml:space="preserve">Ciągłość danych i usług</t>
  </si>
  <si>
    <t xml:space="preserve">HYBRYDA</t>
  </si>
  <si>
    <t xml:space="preserve">Snapshoty, kopie, test odtworzenia</t>
  </si>
  <si>
    <t xml:space="preserve">Harmonogram prób odtworzenia i dowód, że działa</t>
  </si>
  <si>
    <t xml:space="preserve">INF09</t>
  </si>
  <si>
    <t xml:space="preserve">CI/CD i artefakty</t>
  </si>
  <si>
    <t xml:space="preserve">Wersjonowanie i wydania</t>
  </si>
  <si>
    <t xml:space="preserve">Repozytorium, potok, rejestr</t>
  </si>
  <si>
    <t xml:space="preserve">Powiązanie wydania z rejestrem funkcji i dowodami jakości</t>
  </si>
  <si>
    <t xml:space="preserve">INF10</t>
  </si>
  <si>
    <t xml:space="preserve">WAF i limity nadużyć</t>
  </si>
  <si>
    <t xml:space="preserve">Ochrona wejścia</t>
  </si>
  <si>
    <t xml:space="preserve">WAF; limity wywołań</t>
  </si>
  <si>
    <t xml:space="preserve">Limity na użytkownika dla kosztownych operacji: modelu, OCR, transkrypcji</t>
  </si>
  <si>
    <t xml:space="preserve">INF11</t>
  </si>
  <si>
    <t xml:space="preserve">GPU i obliczenia wsadowe</t>
  </si>
  <si>
    <t xml:space="preserve">Obliczenia modeli i symulacji</t>
  </si>
  <si>
    <t xml:space="preserve">GPU na żądanie; klaster na własność opcjonalnie</t>
  </si>
  <si>
    <t xml:space="preserve">Budżet na obszar, kolejkowanie, decyzja co liczyć wsadowo</t>
  </si>
  <si>
    <t xml:space="preserve">INF12</t>
  </si>
  <si>
    <t xml:space="preserve">Indeks wyszukiwania</t>
  </si>
  <si>
    <t xml:space="preserve">Wyszukiwanie i wektory RAG</t>
  </si>
  <si>
    <t xml:space="preserve">Indeks SQL/wektorowy; osobny silnik gdy potrzebny</t>
  </si>
  <si>
    <t xml:space="preserve">Korpus dopuszczonych źródeł i reguła aktualizacji indeksu</t>
  </si>
  <si>
    <t xml:space="preserve">Decyzja: pgvector zamiast osobnego dostawcy</t>
  </si>
  <si>
    <t xml:space="preserve">SYS01</t>
  </si>
  <si>
    <t xml:space="preserve">System</t>
  </si>
  <si>
    <t xml:space="preserve">Dostawca tożsamości</t>
  </si>
  <si>
    <t xml:space="preserve">Logowanie, sesje, MFA</t>
  </si>
  <si>
    <t xml:space="preserve">Zarządzany dostawca tożsamości; Keycloak jako kandydat OSS</t>
  </si>
  <si>
    <t xml:space="preserve">Eternal ID niezmienne i niezależne od dostawcy, mapowanie kont, procedura odzyskania tożsamości</t>
  </si>
  <si>
    <t xml:space="preserve">Wybór niepodjęty</t>
  </si>
  <si>
    <t xml:space="preserve">SYS02</t>
  </si>
  <si>
    <t xml:space="preserve">Bezpieczeństwo urządzenia użytkownika</t>
  </si>
  <si>
    <t xml:space="preserve">Biometria lokalna i klucze</t>
  </si>
  <si>
    <t xml:space="preserve">SDK PLATFORMY</t>
  </si>
  <si>
    <t xml:space="preserve">API iOS/Android; bez przechowywania wzorców biometrii</t>
  </si>
  <si>
    <t xml:space="preserve">Reguła, kiedy wymagać ponownego uwierzytelnienia operacji wrażliwej</t>
  </si>
  <si>
    <t xml:space="preserve">Zależny od decyzji PWA kontra aplikacja natywna</t>
  </si>
  <si>
    <t xml:space="preserve">SYS03</t>
  </si>
  <si>
    <t xml:space="preserve">Wysyłka komunikatów</t>
  </si>
  <si>
    <t xml:space="preserve">SMS, e-mail, push</t>
  </si>
  <si>
    <t xml:space="preserve">Dwóch operatorów za adapterem</t>
  </si>
  <si>
    <t xml:space="preserve">Reguła treści: powiadomienie mówi, że coś się wydarzyło, nie co pokazał wynik</t>
  </si>
  <si>
    <t xml:space="preserve">SYS04</t>
  </si>
  <si>
    <t xml:space="preserve">Płatności</t>
  </si>
  <si>
    <t xml:space="preserve">Pobranie płatności i zwroty</t>
  </si>
  <si>
    <t xml:space="preserve">USŁUGA</t>
  </si>
  <si>
    <t xml:space="preserve">Licencjonowany operator płatności</t>
  </si>
  <si>
    <t xml:space="preserve">Powiązanie płatności z uprawnieniem, obsługa wygaśnięcia i zwrotu</t>
  </si>
  <si>
    <t xml:space="preserve">SYS05</t>
  </si>
  <si>
    <t xml:space="preserve">Podpis i weryfikacja tożsamości</t>
  </si>
  <si>
    <t xml:space="preserve">Podpis dokumentów lub dowód tożsamości</t>
  </si>
  <si>
    <t xml:space="preserve">Uprawniony dostawca; zakres do kontraktu</t>
  </si>
  <si>
    <t xml:space="preserve">Decyzja, które operacje naprawdę wymagają potwierdzonej tożsamości — większość nie wymaga</t>
  </si>
  <si>
    <t xml:space="preserve">SYS06</t>
  </si>
  <si>
    <t xml:space="preserve">Offline i synchronizacja klienta</t>
  </si>
  <si>
    <t xml:space="preserve">Kolejka lokalna i konflikt wersji</t>
  </si>
  <si>
    <t xml:space="preserve">WŁASNY + SDK</t>
  </si>
  <si>
    <t xml:space="preserve">Lokalny zaszyfrowany cache</t>
  </si>
  <si>
    <t xml:space="preserve">AI pisze kod</t>
  </si>
  <si>
    <t xml:space="preserve">Reguła rozstrzygania konfliktu i zachowanie obu wersji, gdy nie da się rozstrzygnąć</t>
  </si>
  <si>
    <t xml:space="preserve">Wymaga decyzji o aplikacji natywnej</t>
  </si>
  <si>
    <t xml:space="preserve">CTL01</t>
  </si>
  <si>
    <t xml:space="preserve">Kontrola</t>
  </si>
  <si>
    <t xml:space="preserve">Rejestr zgód</t>
  </si>
  <si>
    <t xml:space="preserve">Cel, zakres, czas, odwołanie</t>
  </si>
  <si>
    <t xml:space="preserve">WŁASNY</t>
  </si>
  <si>
    <t xml:space="preserve">Rejestr zgód Eternal</t>
  </si>
  <si>
    <t xml:space="preserve">Całość: model zgody z celem, zakresem, terminem i odwołaniem; egzekwowanie przy każdym odczycie</t>
  </si>
  <si>
    <t xml:space="preserve">Rdzeń własny</t>
  </si>
  <si>
    <t xml:space="preserve">CTL02</t>
  </si>
  <si>
    <t xml:space="preserve">Silnik uprawnień</t>
  </si>
  <si>
    <t xml:space="preserve">Sprawdzenie roli, celu i organizacji</t>
  </si>
  <si>
    <t xml:space="preserve">WŁASNY + OSS</t>
  </si>
  <si>
    <t xml:space="preserve">Reguły Eternal; wymienny silnik reguł</t>
  </si>
  <si>
    <t xml:space="preserve">Model ról, celów i zakresów; decyzja przy każdym żądaniu; zakaz ufania roli przysłanej przez klienta</t>
  </si>
  <si>
    <t xml:space="preserve">CTL03</t>
  </si>
  <si>
    <t xml:space="preserve">Ślad audytowy</t>
  </si>
  <si>
    <t xml:space="preserve">Kto wykonał operację i na jakiej podstawie</t>
  </si>
  <si>
    <t xml:space="preserve">WŁASNY + PRZECHOWYWANIE</t>
  </si>
  <si>
    <t xml:space="preserve">Rejestr Eternal; magazyn tylko do dopisywania</t>
  </si>
  <si>
    <t xml:space="preserve">Format zdarzenia, podpis, rotacja kluczy, udostępnienie logu użytkownikowi</t>
  </si>
  <si>
    <t xml:space="preserve">Decyzja: podpisany dziennik zamiast łańcucha bloków</t>
  </si>
  <si>
    <t xml:space="preserve">CTL04</t>
  </si>
  <si>
    <t xml:space="preserve">Izolacja organizacji</t>
  </si>
  <si>
    <t xml:space="preserve">Granice klinik i środowisk</t>
  </si>
  <si>
    <t xml:space="preserve">Kontekst organizacji; testy izolacji</t>
  </si>
  <si>
    <t xml:space="preserve">Całość: granica organizacji, test przecieku między klinikami, rezydencja danych dla każdej organizacji</t>
  </si>
  <si>
    <t xml:space="preserve">Rdzeń własny; warunek sprzedaży B2B</t>
  </si>
  <si>
    <t xml:space="preserve">CTL05</t>
  </si>
  <si>
    <t xml:space="preserve">Katalog dostawców</t>
  </si>
  <si>
    <t xml:space="preserve">Zakres, region, umowa, SLA</t>
  </si>
  <si>
    <t xml:space="preserve">Rejestr kwalifikowanych dostawców</t>
  </si>
  <si>
    <t xml:space="preserve">Zakres, region, umowa, SLA i koszt każdego dostawcy w jednym miejscu — inaczej nikt nie wie, na czym stoimy</t>
  </si>
  <si>
    <t xml:space="preserve">CTL06</t>
  </si>
  <si>
    <t xml:space="preserve">Router dostawców</t>
  </si>
  <si>
    <t xml:space="preserve">Wybór zatwierdzonego wykonawcy</t>
  </si>
  <si>
    <t xml:space="preserve">Kierowanie według kosztu, kraju i jakości</t>
  </si>
  <si>
    <t xml:space="preserve">Wybór wykonawcy według regionu, kosztu i jakości; przełączenie bez wydania nowej wersji</t>
  </si>
  <si>
    <t xml:space="preserve">Rdzeń własny; warunek realnej wymienialności</t>
  </si>
  <si>
    <t xml:space="preserve">CTL07</t>
  </si>
  <si>
    <t xml:space="preserve">Fabryka adapterów</t>
  </si>
  <si>
    <t xml:space="preserve">Kontrakty i testy zgodności</t>
  </si>
  <si>
    <t xml:space="preserve">SDK adaptera, zestawy testowe</t>
  </si>
  <si>
    <t xml:space="preserve">Jeden kontrakt dla wszystkich dostawców tej samej klasy plus zestaw testów zgodności</t>
  </si>
  <si>
    <t xml:space="preserve">Rdzeń własny — bez niego wymiana dostawcy jest przepisaniem kodu</t>
  </si>
  <si>
    <t xml:space="preserve">CTL08</t>
  </si>
  <si>
    <t xml:space="preserve">Kompozytor produktów</t>
  </si>
  <si>
    <t xml:space="preserve">Pakiety, konfiguracja kliniki i flagi</t>
  </si>
  <si>
    <t xml:space="preserve">Szablony Eternal; brak forków klinik</t>
  </si>
  <si>
    <t xml:space="preserve">Pakiety i konfiguracja kliniki bez forka kodu — warunek marży przy wielu klientach</t>
  </si>
  <si>
    <t xml:space="preserve">CTL09</t>
  </si>
  <si>
    <t xml:space="preserve">Uprawnienia płatne i pomiar użycia</t>
  </si>
  <si>
    <t xml:space="preserve">Licencja, limit i licznik jednostek</t>
  </si>
  <si>
    <t xml:space="preserve">Uprawnienia i pomiar użycia</t>
  </si>
  <si>
    <t xml:space="preserve">Definicja jednostki rozliczeniowej, limity, odcięcie po przekroczeniu</t>
  </si>
  <si>
    <t xml:space="preserve">CTL10</t>
  </si>
  <si>
    <t xml:space="preserve">Rozliczenie partnera</t>
  </si>
  <si>
    <t xml:space="preserve">Prowizje i uzgodnienie transakcji</t>
  </si>
  <si>
    <t xml:space="preserve">Rejestr rozliczeń</t>
  </si>
  <si>
    <t xml:space="preserve">Uzgodnienie transakcji, prowizje, obsługa zwrotu i reklamacji</t>
  </si>
  <si>
    <t xml:space="preserve">CTL11</t>
  </si>
  <si>
    <t xml:space="preserve">Brama przeznaczenia i kraju</t>
  </si>
  <si>
    <t xml:space="preserve">Dozwolona funkcja, rynek, populacja</t>
  </si>
  <si>
    <t xml:space="preserve">WŁASNY PROCES</t>
  </si>
  <si>
    <t xml:space="preserve">Rejestr deklaracji i warunki aktywacji</t>
  </si>
  <si>
    <t xml:space="preserve">proces prowadzony przez ludzi; AI pomaga narzędziami i dokumentacją</t>
  </si>
  <si>
    <t xml:space="preserve">Reguła w kodzie: co w danym kraju i dla jakiej populacji jest włączone. To jest mechanizm, który pozwala jednemu produktowi działać w wielu reżimach</t>
  </si>
  <si>
    <t xml:space="preserve">Rdzeń własny; egzekwowane kodem, nie polityką</t>
  </si>
  <si>
    <t xml:space="preserve">CTL12</t>
  </si>
  <si>
    <t xml:space="preserve">Jakość i dokumentacja wydania</t>
  </si>
  <si>
    <t xml:space="preserve">Ryzyko, SBOM, dowody, zmiany</t>
  </si>
  <si>
    <t xml:space="preserve">WŁASNY PROCES + NARZĘDZIA</t>
  </si>
  <si>
    <t xml:space="preserve">QMS i ocena zmian</t>
  </si>
  <si>
    <t xml:space="preserve">Analiza ryzyka, dowody, powiązanie wydania z funkcją</t>
  </si>
  <si>
    <t xml:space="preserve">Rdzeń własny; warunek wejścia w wyrób medyczny</t>
  </si>
  <si>
    <t xml:space="preserve">CTL13</t>
  </si>
  <si>
    <t xml:space="preserve">Rejestr modeli i ewaluacja</t>
  </si>
  <si>
    <t xml:space="preserve">Model, prompt, dane, testy</t>
  </si>
  <si>
    <t xml:space="preserve">WŁASNY + NARZĘDZIA</t>
  </si>
  <si>
    <t xml:space="preserve">Zestaw ewaluacji i rejestr modeli</t>
  </si>
  <si>
    <t xml:space="preserve">Zbiór kontrolny, progi akceptacji, wersjonowanie modelu i promptu, zapis co odpowiedziało</t>
  </si>
  <si>
    <t xml:space="preserve">Rdzeń własny; użyty w 52 funkcjach</t>
  </si>
  <si>
    <t xml:space="preserve">CTL14</t>
  </si>
  <si>
    <t xml:space="preserve">Zaufanie do źródła</t>
  </si>
  <si>
    <t xml:space="preserve">Integralność, pochodzenie i atestacja</t>
  </si>
  <si>
    <t xml:space="preserve">Skrót, podpis, poziom źródła</t>
  </si>
  <si>
    <t xml:space="preserve">Integralność i pochodzenie źródła; odróżnienie danych zmierzonych od wprowadzonych ręcznie i od wyliczonych</t>
  </si>
  <si>
    <t xml:space="preserve">CTL15</t>
  </si>
  <si>
    <t xml:space="preserve">Retencja i eksport</t>
  </si>
  <si>
    <t xml:space="preserve">Usunięcie, przeniesienie, archiwum</t>
  </si>
  <si>
    <t xml:space="preserve">Polityka cyklu życia danych</t>
  </si>
  <si>
    <t xml:space="preserve">Polityka retencji, usunięcie na żądanie, eksport dający się wczytać z powrotem</t>
  </si>
  <si>
    <t xml:space="preserve">CTL16</t>
  </si>
  <si>
    <t xml:space="preserve">Rejestr urządzeń</t>
  </si>
  <si>
    <t xml:space="preserve">Model, firmware, kalibracja, pacjent</t>
  </si>
  <si>
    <t xml:space="preserve">Model, wersja oprogramowania układowego, kalibracja, przypisanie do osoby. Bez tego pomiar nie ma wartości dowodowej</t>
  </si>
  <si>
    <t xml:space="preserve">Rdzeń własny; użyty w 48 funkcjach</t>
  </si>
  <si>
    <t xml:space="preserve">CTL17</t>
  </si>
  <si>
    <t xml:space="preserve">Bezpieczny stan awarii</t>
  </si>
  <si>
    <t xml:space="preserve">Wyłącznik obwodu, wycofanie zmian, eskalacja</t>
  </si>
  <si>
    <t xml:space="preserve">Runbook i reguły degradacji</t>
  </si>
  <si>
    <t xml:space="preserve">Definicja stanu degradacji dla każdej funkcji: co przestaje działać, co działa dalej, co widzi użytkownik</t>
  </si>
  <si>
    <t xml:space="preserve">CTL18</t>
  </si>
  <si>
    <t xml:space="preserve">Reguły i orkiestracja</t>
  </si>
  <si>
    <t xml:space="preserve">Jawny przebieg zadań i decyzji</t>
  </si>
  <si>
    <t xml:space="preserve">Silnik przebiegów i reguły Eternal</t>
  </si>
  <si>
    <t xml:space="preserve">Jawny przebieg: co uruchamia się samo, co wymaga potwierdzenia, co wymaga człowieka</t>
  </si>
  <si>
    <t xml:space="preserve">CTL19</t>
  </si>
  <si>
    <t xml:space="preserve">Budżet i SLA komponentu</t>
  </si>
  <si>
    <t xml:space="preserve">Koszt, limity i monitoring jakości</t>
  </si>
  <si>
    <t xml:space="preserve">FinOps i liczniki błędów</t>
  </si>
  <si>
    <t xml:space="preserve">Przypisanie kosztu do funkcji i do obszaru — bez tego nie da się stwierdzić, który wariant jest opłacalny</t>
  </si>
  <si>
    <t xml:space="preserve">Rdzeń własny; dziś nieużywany w żadnej funkcji mimo że warunkuje ekonomię</t>
  </si>
  <si>
    <t xml:space="preserve">CTL20</t>
  </si>
  <si>
    <t xml:space="preserve">Rejestr funkcji</t>
  </si>
  <si>
    <t xml:space="preserve">Funkcja, wersja i zależności</t>
  </si>
  <si>
    <t xml:space="preserve">Rejestr zdolności</t>
  </si>
  <si>
    <t xml:space="preserve">Funkcja, wersja, zależności — to jest ten rejestr, na którym pracujemy; ma być w kodzie, nie tylko w arkuszu</t>
  </si>
  <si>
    <t xml:space="preserve">DAT01</t>
  </si>
  <si>
    <t xml:space="preserve">Dane</t>
  </si>
  <si>
    <t xml:space="preserve">Kanoniczny rekord zdrowia</t>
  </si>
  <si>
    <t xml:space="preserve">Wspólny format niezależny od vendora</t>
  </si>
  <si>
    <t xml:space="preserve">Model danych Eternal</t>
  </si>
  <si>
    <t xml:space="preserve">Model, wersjonowanie, klucze, reguła zapisu bez kasowania</t>
  </si>
  <si>
    <t xml:space="preserve">Rdzeń własny; fundament wszystkich obszarów</t>
  </si>
  <si>
    <t xml:space="preserve">DAT02</t>
  </si>
  <si>
    <t xml:space="preserve">Mapper interoperacyjności</t>
  </si>
  <si>
    <t xml:space="preserve">Mapowanie jednostek i schematów</t>
  </si>
  <si>
    <t xml:space="preserve">FHIR/HL7 i formaty lokalne</t>
  </si>
  <si>
    <t xml:space="preserve">Mapowania, profile krajowe, walidacja zgodności, utrzymanie wersji</t>
  </si>
  <si>
    <t xml:space="preserve">Rdzeń własny i jednocześnie produkt na sprzedaż przed marcem 2029</t>
  </si>
  <si>
    <t xml:space="preserve">DAT03</t>
  </si>
  <si>
    <t xml:space="preserve">Pochodzenie danych i wersjonowanie</t>
  </si>
  <si>
    <t xml:space="preserve">Źródło, czas, korekta, pochodzenie</t>
  </si>
  <si>
    <t xml:space="preserve">Rejestr źródeł i wersji</t>
  </si>
  <si>
    <t xml:space="preserve">Źródło, czas, autor, korekta, powiązanie wersji. Bez tego nie da się obronić żadnej wartości</t>
  </si>
  <si>
    <t xml:space="preserve">DAT04</t>
  </si>
  <si>
    <t xml:space="preserve">Deduplikacja i jakość danych</t>
  </si>
  <si>
    <t xml:space="preserve">Konflikty, braki, walidacja</t>
  </si>
  <si>
    <t xml:space="preserve">Reguły jakości bez diagnozy</t>
  </si>
  <si>
    <t xml:space="preserve">Reguła pierwszeństwa, zapis wartości odrzuconej, wykrywanie wartości niemożliwych</t>
  </si>
  <si>
    <t xml:space="preserve">Rdzeń własny; wybór wartości to decyzja o treści danych</t>
  </si>
  <si>
    <t xml:space="preserve">DAT05</t>
  </si>
  <si>
    <t xml:space="preserve">Importer i parser dokumentów</t>
  </si>
  <si>
    <t xml:space="preserve">PDF/CSV/JSON do rekordów</t>
  </si>
  <si>
    <t xml:space="preserve">WŁASNY + PARSERY</t>
  </si>
  <si>
    <t xml:space="preserve">Parsery formatów i korekta użytkownika</t>
  </si>
  <si>
    <t xml:space="preserve">Rozpoznanie typu dokumentu, wydobycie pozycji, ekran korekty, historia wersji</t>
  </si>
  <si>
    <t xml:space="preserve">DAT06</t>
  </si>
  <si>
    <t xml:space="preserve">Terminologia</t>
  </si>
  <si>
    <t xml:space="preserve">Kody, słowniki i jednostki</t>
  </si>
  <si>
    <t xml:space="preserve">LICENCJA / OSS + WŁASNE</t>
  </si>
  <si>
    <t xml:space="preserve">Usługa terminologii; prawa do słowników osobno</t>
  </si>
  <si>
    <t xml:space="preserve">Mapowanie nazw lokalnych, obsługa pozycji bez odpowiednika, przeliczenia jednostek</t>
  </si>
  <si>
    <t xml:space="preserve">Licencje do sprawdzenia</t>
  </si>
  <si>
    <t xml:space="preserve">DAT07</t>
  </si>
  <si>
    <t xml:space="preserve">Widok podłużny</t>
  </si>
  <si>
    <t xml:space="preserve">Historia, trendy i wyszukiwanie profilu</t>
  </si>
  <si>
    <t xml:space="preserve">Model odczytu i indeks zdarzeń</t>
  </si>
  <si>
    <t xml:space="preserve">Całość: scalenie źródeł, oś czasu, wyszukiwanie, wydajność przy wieloletniej historii</t>
  </si>
  <si>
    <t xml:space="preserve">Rdzeń własny; użyty w 73 funkcjach — najczęściej ze wszystkich</t>
  </si>
  <si>
    <t xml:space="preserve">DAT08</t>
  </si>
  <si>
    <t xml:space="preserve">Pakiet udostępnienia</t>
  </si>
  <si>
    <t xml:space="preserve">Zakres danych dla odbiorcy</t>
  </si>
  <si>
    <t xml:space="preserve">Pakiet FHIR / CSV / PDF</t>
  </si>
  <si>
    <t xml:space="preserve">Zakres danych dla konkretnego odbiorcy i celu, z terminem i odwołaniem. Nie wysyłamy całej historii, bo tak łatwiej</t>
  </si>
  <si>
    <t xml:space="preserve">DAT09</t>
  </si>
  <si>
    <t xml:space="preserve">Kohorty i środowisko badawcze</t>
  </si>
  <si>
    <t xml:space="preserve">Przygotowanie danych do badań</t>
  </si>
  <si>
    <t xml:space="preserve">WŁASNY + USŁUGA</t>
  </si>
  <si>
    <t xml:space="preserve">Bezpieczna przestrzeń robocza i ograniczenie celu</t>
  </si>
  <si>
    <t xml:space="preserve">Reguły minimalnej liczebności, podstawa prawna, zgody na użycie wtórne</t>
  </si>
  <si>
    <t xml:space="preserve">Wymaga rozstrzygnięcia prawnego</t>
  </si>
  <si>
    <t xml:space="preserve">DAT10</t>
  </si>
  <si>
    <t xml:space="preserve">Archiwum długoterminowe</t>
  </si>
  <si>
    <t xml:space="preserve">Dyspozycje i dostęp spadkobiercy</t>
  </si>
  <si>
    <t xml:space="preserve">Sejf; reguły weryfikacji odbiorcy</t>
  </si>
  <si>
    <t xml:space="preserve">Dyspozycje, procedura przekazania, format czytelny za kilkadziesiąt lat</t>
  </si>
  <si>
    <t xml:space="preserve">Obietnica horyzontu kilkudziesięciu lat wymaga decyzji o formacie i depozycie</t>
  </si>
  <si>
    <t xml:space="preserve">INT01</t>
  </si>
  <si>
    <t xml:space="preserve">Integracja</t>
  </si>
  <si>
    <t xml:space="preserve">Adapter HealthKit</t>
  </si>
  <si>
    <t xml:space="preserve">Import z ekosystemu Apple</t>
  </si>
  <si>
    <t xml:space="preserve">HealthKit; dostęp zależny od zgody</t>
  </si>
  <si>
    <t xml:space="preserve">Synchronizacja offline, rozstrzyganie duplikatów wobec agregatora, jednolity format wyjściowy</t>
  </si>
  <si>
    <t xml:space="preserve">Warunek: decyzja o aplikacji natywnej</t>
  </si>
  <si>
    <t xml:space="preserve">INT02</t>
  </si>
  <si>
    <t xml:space="preserve">Adapter Health Connect</t>
  </si>
  <si>
    <t xml:space="preserve">Import danych Android</t>
  </si>
  <si>
    <t xml:space="preserve">Health Connect; uprawnienia użytkownika</t>
  </si>
  <si>
    <t xml:space="preserve">To samo co przy HealthKit</t>
  </si>
  <si>
    <t xml:space="preserve">INT03</t>
  </si>
  <si>
    <t xml:space="preserve">Adapter Terra</t>
  </si>
  <si>
    <t xml:space="preserve">Agregacja źródeł zdrowia</t>
  </si>
  <si>
    <t xml:space="preserve">API PARTNERA</t>
  </si>
  <si>
    <t xml:space="preserve">Terra; kwalifikacja pokrycia dla każdego źródła</t>
  </si>
  <si>
    <t xml:space="preserve">Kontrakt niezależny od dostawcy, mapowanie na rekord kanoniczny, pochodzenie źródła i urządzenia, reguła konfliktu, test przełączenia</t>
  </si>
  <si>
    <t xml:space="preserve">Cennik publiczny, weryfikacja wrzesień 2026</t>
  </si>
  <si>
    <t xml:space="preserve">INT04</t>
  </si>
  <si>
    <t xml:space="preserve">Adapter bezpośredni OEM</t>
  </si>
  <si>
    <t xml:space="preserve">Import bez agregatora</t>
  </si>
  <si>
    <t xml:space="preserve">API / SDK PARTNERA</t>
  </si>
  <si>
    <t xml:space="preserve">API producenta po umowie</t>
  </si>
  <si>
    <t xml:space="preserve">Adapter na wspólny kontrakt plus stałe utrzymanie przy zmianach po ich stronie</t>
  </si>
  <si>
    <t xml:space="preserve">Użyty w 45 funkcjach; każdy adapter to osobny koszt stały</t>
  </si>
  <si>
    <t xml:space="preserve">INT05</t>
  </si>
  <si>
    <t xml:space="preserve">Adapter BLE i lokalny gateway</t>
  </si>
  <si>
    <t xml:space="preserve">Odczyt zgodnych urządzeń</t>
  </si>
  <si>
    <t xml:space="preserve">Profile BLE konkretnego urządzenia</t>
  </si>
  <si>
    <t xml:space="preserve">Odczyt, parowanie, bufor lokalny, mapowanie na rekord kanoniczny</t>
  </si>
  <si>
    <t xml:space="preserve">Decyzja: profile Bluetooth SIG zamiast biblioteki na licencji AGPL</t>
  </si>
  <si>
    <t xml:space="preserve">INT06</t>
  </si>
  <si>
    <t xml:space="preserve">Adapter Gadgetbridge</t>
  </si>
  <si>
    <t xml:space="preserve">Opcjonalny import OSS</t>
  </si>
  <si>
    <t xml:space="preserve">OSS DO OCENY LICENCJI</t>
  </si>
  <si>
    <t xml:space="preserve">Gadgetbridge; zakres dla każdego urządzenia</t>
  </si>
  <si>
    <t xml:space="preserve">Nie stosować w produkcie zamkniętym; zastąpiony profilami Bluetooth SIG</t>
  </si>
  <si>
    <t xml:space="preserve">Decyzja negatywna — pozostaje w katalogu jako odrzucony</t>
  </si>
  <si>
    <t xml:space="preserve">INT07</t>
  </si>
  <si>
    <t xml:space="preserve">Adapter Vitalera API</t>
  </si>
  <si>
    <t xml:space="preserve">Dane do platformy Eternal</t>
  </si>
  <si>
    <t xml:space="preserve">Vitalera API</t>
  </si>
  <si>
    <t xml:space="preserve">Ten sam kontrakt co przy innych agregatorach; ustalenie, czy ich CE cokolwiek zdejmuje z nas</t>
  </si>
  <si>
    <t xml:space="preserve">Deklaracja dostawcy, niezweryfikowana</t>
  </si>
  <si>
    <t xml:space="preserve">INT08</t>
  </si>
  <si>
    <t xml:space="preserve">Adapter Vitalera SDK</t>
  </si>
  <si>
    <t xml:space="preserve">Odczyt sprzętu w kliencie</t>
  </si>
  <si>
    <t xml:space="preserve">SDK PARTNERA</t>
  </si>
  <si>
    <t xml:space="preserve">Vitalera SDK</t>
  </si>
  <si>
    <t xml:space="preserve">Warstwa pośrednia, żeby wymiana SDK nie oznaczała przepisania klienta</t>
  </si>
  <si>
    <t xml:space="preserve">Deklaracja dostawcy</t>
  </si>
  <si>
    <t xml:space="preserve">INT09</t>
  </si>
  <si>
    <t xml:space="preserve">Adapter Vitalera Scan</t>
  </si>
  <si>
    <t xml:space="preserve">Odczyt wartości z ekranu sprzętu</t>
  </si>
  <si>
    <t xml:space="preserve">USŁUGA PARTNERA</t>
  </si>
  <si>
    <t xml:space="preserve">Vitalera Scan</t>
  </si>
  <si>
    <t xml:space="preserve">partner, sprzęt lub usługa fizyczna; AI pisze tylko integrację</t>
  </si>
  <si>
    <t xml:space="preserve">Oznaczenie takiego pomiaru jako mniej wiarygodnego i wymaganie potwierdzenia przy wartościach granicznych</t>
  </si>
  <si>
    <t xml:space="preserve">INT10</t>
  </si>
  <si>
    <t xml:space="preserve">Vitalera Platform</t>
  </si>
  <si>
    <t xml:space="preserve">Gotowy przebieg pracy RPM</t>
  </si>
  <si>
    <t xml:space="preserve">PLATFORMA PARTNERA</t>
  </si>
  <si>
    <t xml:space="preserve">Jeśli w ogóle, to jako kanał dla konkretnego klienta B2B, nigdy jako rdzeń</t>
  </si>
  <si>
    <t xml:space="preserve">INT11</t>
  </si>
  <si>
    <t xml:space="preserve">Adapter LIS</t>
  </si>
  <si>
    <t xml:space="preserve">Zlecenia i wyniki laboratorium</t>
  </si>
  <si>
    <t xml:space="preserve">API / PLIKI PARTNERA</t>
  </si>
  <si>
    <t xml:space="preserve">LIS konkretnej sieci laboratoryjnej</t>
  </si>
  <si>
    <t xml:space="preserve">Adapter na kontrakt, tryb zastępczy przez dokument, gdy integracji nie ma</t>
  </si>
  <si>
    <t xml:space="preserve">Zależne od partnera</t>
  </si>
  <si>
    <t xml:space="preserve">INT12</t>
  </si>
  <si>
    <t xml:space="preserve">Adapter krajowego eHealth</t>
  </si>
  <si>
    <t xml:space="preserve">Recepty, skierowania, uprawnienia</t>
  </si>
  <si>
    <t xml:space="preserve">API UPRAWNIONEGO PODMIOTU</t>
  </si>
  <si>
    <t xml:space="preserve">System krajowy przez uprawnionego integratora</t>
  </si>
  <si>
    <t xml:space="preserve">Własna historia jako podstawa, platforma jako jedno ze źródeł; uzupełnianie dokumentami tam, gdzie milczy</t>
  </si>
  <si>
    <t xml:space="preserve">Wymaga potwierdzenia stanu</t>
  </si>
  <si>
    <t xml:space="preserve">INT13</t>
  </si>
  <si>
    <t xml:space="preserve">Adapter kalendarza</t>
  </si>
  <si>
    <t xml:space="preserve">Terminy i rezerwacje</t>
  </si>
  <si>
    <t xml:space="preserve">API / SDK</t>
  </si>
  <si>
    <t xml:space="preserve">Kalendarz systemowy lub partnera</t>
  </si>
  <si>
    <t xml:space="preserve">Reguła treści zdarzenia i powiązanie z rezerwacją po naszej stronie</t>
  </si>
  <si>
    <t xml:space="preserve">INT14</t>
  </si>
  <si>
    <t xml:space="preserve">Mapy i geolokalizacja</t>
  </si>
  <si>
    <t xml:space="preserve">Placówki, odległość, wyznaczanie trasy</t>
  </si>
  <si>
    <t xml:space="preserve">Dostawca map i API lokalizacji</t>
  </si>
  <si>
    <t xml:space="preserve">Zapytanie po stronie serwera zamiast z urządzenia tam, gdzie kontekst jest wrażliwy</t>
  </si>
  <si>
    <t xml:space="preserve">INT15</t>
  </si>
  <si>
    <t xml:space="preserve">Dane środowiskowe</t>
  </si>
  <si>
    <t xml:space="preserve">Pogoda i jakość powietrza</t>
  </si>
  <si>
    <t xml:space="preserve">API środowiskowe dla każdego regionu</t>
  </si>
  <si>
    <t xml:space="preserve">Powiązanie z lokalizacją użytkownika i z jego objawami; ostrożność w twierdzeniach o przyczynie</t>
  </si>
  <si>
    <t xml:space="preserve">INT16</t>
  </si>
  <si>
    <t xml:space="preserve">Katalog i zakup usług</t>
  </si>
  <si>
    <t xml:space="preserve">Koszyk, zamówienie, status</t>
  </si>
  <si>
    <t xml:space="preserve">API / LINK PARTNERA</t>
  </si>
  <si>
    <t xml:space="preserve">Partner usług, towarów lub afiliacji</t>
  </si>
  <si>
    <t xml:space="preserve">Własny katalog, śledzenie zamówienia za zgodą, rozliczenie</t>
  </si>
  <si>
    <t xml:space="preserve">Brak umów</t>
  </si>
  <si>
    <t xml:space="preserve">INT17</t>
  </si>
  <si>
    <t xml:space="preserve">Dane aptek i leków</t>
  </si>
  <si>
    <t xml:space="preserve">Katalog, dostępność, rezerwacja</t>
  </si>
  <si>
    <t xml:space="preserve">LICENCJA / API</t>
  </si>
  <si>
    <t xml:space="preserve">Dostawca danych i sieć aptek</t>
  </si>
  <si>
    <t xml:space="preserve">Prezentacja, powiązanie z rejestrem leków pacjenta, granica między informacją a zaleceniem</t>
  </si>
  <si>
    <t xml:space="preserve">LUKA: dostawca i koszt nieznane</t>
  </si>
  <si>
    <t xml:space="preserve">INT18</t>
  </si>
  <si>
    <t xml:space="preserve">Adapter EHR/HIS</t>
  </si>
  <si>
    <t xml:space="preserve">Dokumentacja i wymiana danych kliniki</t>
  </si>
  <si>
    <t xml:space="preserve">API PARTNERA / OSS</t>
  </si>
  <si>
    <t xml:space="preserve">Medplum/HAPI jako kandydaci; system kliniki</t>
  </si>
  <si>
    <t xml:space="preserve">Adapter na kontrakt, nie na konkretnego dostawcę; tryb pracy bez integracji jako domyślny przy wdrożeniu</t>
  </si>
  <si>
    <t xml:space="preserve">Zależne od kliniki</t>
  </si>
  <si>
    <t xml:space="preserve">AI01</t>
  </si>
  <si>
    <t xml:space="preserve">Silnik</t>
  </si>
  <si>
    <t xml:space="preserve">OCR</t>
  </si>
  <si>
    <t xml:space="preserve">Obraz/PDF do tekstu</t>
  </si>
  <si>
    <t xml:space="preserve">API / OSS</t>
  </si>
  <si>
    <t xml:space="preserve">Zarządzany OCR lub Tesseract jako kandydat</t>
  </si>
  <si>
    <t xml:space="preserve">Rozpoznanie typu dokumentu, mapowanie na pozycje, ekran korekty, kontrola jakości, terminologia</t>
  </si>
  <si>
    <t xml:space="preserve">Cenniki publiczne, weryfikacja lipiec 2026</t>
  </si>
  <si>
    <t xml:space="preserve">AI02</t>
  </si>
  <si>
    <t xml:space="preserve">Transkrypcja STT</t>
  </si>
  <si>
    <t xml:space="preserve">Audio do tekstu</t>
  </si>
  <si>
    <t xml:space="preserve">Zewnętrzny STT lub model utrzymywany własnie</t>
  </si>
  <si>
    <t xml:space="preserve">Przebieg scribe: struktura notatki, zatwierdzenie przez lekarza, poprawka, wersjonowanie, wejście do dokumentacji</t>
  </si>
  <si>
    <t xml:space="preserve">LUKA: brak pomiaru jakości</t>
  </si>
  <si>
    <t xml:space="preserve">AI03</t>
  </si>
  <si>
    <t xml:space="preserve">Model językowy</t>
  </si>
  <si>
    <t xml:space="preserve">Projekt i interfejs językowy</t>
  </si>
  <si>
    <t xml:space="preserve">API / MODEL</t>
  </si>
  <si>
    <t xml:space="preserve">Zewnętrzny model językowy lub model na własnej mocy obliczeniowej</t>
  </si>
  <si>
    <t xml:space="preserve">Korpus dopuszczonych źródeł, reguły odmowy, limit na użytkownika, wersjonowanie promptu</t>
  </si>
  <si>
    <t xml:space="preserve">AI04</t>
  </si>
  <si>
    <t xml:space="preserve">Retriever RAG</t>
  </si>
  <si>
    <t xml:space="preserve">Źródła i cytowania</t>
  </si>
  <si>
    <t xml:space="preserve">Retriever nad uprawnioną bazą treści</t>
  </si>
  <si>
    <t xml:space="preserve">Korpus, reguła aktualności, powiązanie fragmentu z twierdzeniem</t>
  </si>
  <si>
    <t xml:space="preserve">AI05</t>
  </si>
  <si>
    <t xml:space="preserve">Synteza mowy TTS</t>
  </si>
  <si>
    <t xml:space="preserve">Tekst do audio</t>
  </si>
  <si>
    <t xml:space="preserve">Wymienny silnik TTS</t>
  </si>
  <si>
    <t xml:space="preserve">Słownik wymowy dla terminów, którymi się posługujemy</t>
  </si>
  <si>
    <t xml:space="preserve">AI06</t>
  </si>
  <si>
    <t xml:space="preserve">Ocena pozy ruchowej</t>
  </si>
  <si>
    <t xml:space="preserve">Szkielet ruchu z obrazu</t>
  </si>
  <si>
    <t xml:space="preserve">SDK / MODEL</t>
  </si>
  <si>
    <t xml:space="preserve">Model oceny pozy; kandydat MediaPipe</t>
  </si>
  <si>
    <t xml:space="preserve">Progi, informacja zwrotna, granica między treningiem a rehabilitacją</t>
  </si>
  <si>
    <t xml:space="preserve">AI07</t>
  </si>
  <si>
    <t xml:space="preserve">Model wskazania klinicznego</t>
  </si>
  <si>
    <t xml:space="preserve">Wąska predykcja/CDSS</t>
  </si>
  <si>
    <t xml:space="preserve">REGULOWANY PARTNER / WŁASNY</t>
  </si>
  <si>
    <t xml:space="preserve">Konkretny model po kwalifikacji</t>
  </si>
  <si>
    <t xml:space="preserve">regulowany: AI pisze kod, dopuszczenie wymaga walidacji klinicznej</t>
  </si>
  <si>
    <t xml:space="preserve">Przekazanie kontekstu, obsługa przypadku poza zakresem, rozdział tego, co mówi partner, od tego, co mówimy my</t>
  </si>
  <si>
    <t xml:space="preserve">Użyty w 46 funkcjach — każda z nich jest kandydatem na wyrób medyczny</t>
  </si>
  <si>
    <t xml:space="preserve">AI08</t>
  </si>
  <si>
    <t xml:space="preserve">Silnik symulacji</t>
  </si>
  <si>
    <t xml:space="preserve">Scenariusze obliczeniowe</t>
  </si>
  <si>
    <t xml:space="preserve">LICENCJA / OSS / WŁASNY</t>
  </si>
  <si>
    <t xml:space="preserve">Model zależny od organu lub procesu</t>
  </si>
  <si>
    <t xml:space="preserve">Założenia, walidacja, jawne przedstawienie niepewności</t>
  </si>
  <si>
    <t xml:space="preserve">Użyty w 36 funkcjach; bez walidacji to wizualizacja, nie prognoza</t>
  </si>
  <si>
    <t xml:space="preserve">AI09</t>
  </si>
  <si>
    <t xml:space="preserve">Uczenie federacyjne</t>
  </si>
  <si>
    <t xml:space="preserve">Trening na rozproszonych danych</t>
  </si>
  <si>
    <t xml:space="preserve">OSS + WŁASNY PROCES</t>
  </si>
  <si>
    <t xml:space="preserve">Orkiestracja treningu</t>
  </si>
  <si>
    <t xml:space="preserve">Protokół, kontrola jakości, uzgodnienia z ośrodkami</t>
  </si>
  <si>
    <t xml:space="preserve">Odległe; wymaga partnerów badawczych</t>
  </si>
  <si>
    <t xml:space="preserve">AI10</t>
  </si>
  <si>
    <t xml:space="preserve">Analiza obrazowa</t>
  </si>
  <si>
    <t xml:space="preserve">Obraz do wyniku dla konkretnego wskazania</t>
  </si>
  <si>
    <t xml:space="preserve">REGULOWANY PARTNER / R&amp;D</t>
  </si>
  <si>
    <t xml:space="preserve">Model dermatologii/retinopatii osobno</t>
  </si>
  <si>
    <t xml:space="preserve">Przekazanie obrazu, obsługa braku wyniku, rozdział odpowiedzialności</t>
  </si>
  <si>
    <t xml:space="preserve">Brak partnera</t>
  </si>
  <si>
    <t xml:space="preserve">AI11</t>
  </si>
  <si>
    <t xml:space="preserve">Liveness i biometria behawioralna</t>
  </si>
  <si>
    <t xml:space="preserve">Weryfikacja obecności/ryzyka</t>
  </si>
  <si>
    <t xml:space="preserve">Dostawca po DPIA i ocenie skuteczności</t>
  </si>
  <si>
    <t xml:space="preserve">Progi i ścieżka odwoławcza dla odrzuconego użytkownika</t>
  </si>
  <si>
    <t xml:space="preserve">AI12</t>
  </si>
  <si>
    <t xml:space="preserve">Tłumaczenie i lokalizacja</t>
  </si>
  <si>
    <t xml:space="preserve">Wersja językowa treści</t>
  </si>
  <si>
    <t xml:space="preserve">Katalog tłumaczeń i silnik</t>
  </si>
  <si>
    <t xml:space="preserve">Weryfikacja treści wrażliwych przez człowieka; słownik terminów</t>
  </si>
  <si>
    <t xml:space="preserve">APP01</t>
  </si>
  <si>
    <t xml:space="preserve">Aplikacja</t>
  </si>
  <si>
    <t xml:space="preserve">Interfejs aplikacji i portal</t>
  </si>
  <si>
    <t xml:space="preserve">Ekrany pacjenta i kliniki</t>
  </si>
  <si>
    <t xml:space="preserve">Wspólne komponenty UI</t>
  </si>
  <si>
    <t xml:space="preserve">Całość przebiegów, język, stany puste, zachowanie przy awarii źródła</t>
  </si>
  <si>
    <t xml:space="preserve">APP02</t>
  </si>
  <si>
    <t xml:space="preserve">Raport i zestawienie</t>
  </si>
  <si>
    <t xml:space="preserve">Sprawdzalny raport faktów</t>
  </si>
  <si>
    <t xml:space="preserve">Szablon, generator, przejście do szczegółów</t>
  </si>
  <si>
    <t xml:space="preserve">Dobór treści, granica faktu i interpretacji, wersjonowanie, znak pochodzenia danych</t>
  </si>
  <si>
    <t xml:space="preserve">Rdzeń własny; artefakt, który sprzedaje panel kliniki</t>
  </si>
  <si>
    <t xml:space="preserve">APP03</t>
  </si>
  <si>
    <t xml:space="preserve">Skrzynka i kolejka pracy</t>
  </si>
  <si>
    <t xml:space="preserve">Braki, statusy, zadania kliniki</t>
  </si>
  <si>
    <t xml:space="preserve">Przebieg obsługi dokumentów</t>
  </si>
  <si>
    <t xml:space="preserve">Definicja kompletności dla typu wizyty, statusy, komunikacja z pacjentem</t>
  </si>
  <si>
    <t xml:space="preserve">Rdzeń własny; nieprzypisany dziś do żadnej funkcji mimo że jest wejściem B2B</t>
  </si>
  <si>
    <t xml:space="preserve">APP04</t>
  </si>
  <si>
    <t xml:space="preserve">Formularze i wywiad</t>
  </si>
  <si>
    <t xml:space="preserve">Zbieranie wywiadu</t>
  </si>
  <si>
    <t xml:space="preserve">WŁASNY + SILNIK</t>
  </si>
  <si>
    <t xml:space="preserve">Formularze; LLM opcjonalny</t>
  </si>
  <si>
    <t xml:space="preserve">Zestaw pytań, logika przejść, granica przeznaczenia, wejście do dokumentacji</t>
  </si>
  <si>
    <t xml:space="preserve">APP05</t>
  </si>
  <si>
    <t xml:space="preserve">Przebieg Scribe</t>
  </si>
  <si>
    <t xml:space="preserve">Nagranie, projekt, akceptacja, eksport</t>
  </si>
  <si>
    <t xml:space="preserve">WŁASNY + SILNIKI</t>
  </si>
  <si>
    <t xml:space="preserve">STT/LLM za adapterem</t>
  </si>
  <si>
    <t xml:space="preserve">Struktura notatki, akceptacja lekarza, poprawka, wersje, eksport</t>
  </si>
  <si>
    <t xml:space="preserve">Rdzeń własny; najwyższa gotowość do zapłaty w pionie klinicznym</t>
  </si>
  <si>
    <t xml:space="preserve">APP06</t>
  </si>
  <si>
    <t xml:space="preserve">Rezerwacje</t>
  </si>
  <si>
    <t xml:space="preserve">Katalog terminów i rezerwacja</t>
  </si>
  <si>
    <t xml:space="preserve">WŁASNY + PARTNER</t>
  </si>
  <si>
    <t xml:space="preserve">Adapter grafiku i zamówienia</t>
  </si>
  <si>
    <t xml:space="preserve">Katalog, rezerwacja, potwierdzenie, odwołanie, rozliczenie</t>
  </si>
  <si>
    <t xml:space="preserve">APP07</t>
  </si>
  <si>
    <t xml:space="preserve">Wideokonsultacja</t>
  </si>
  <si>
    <t xml:space="preserve">Połączenie pacjent–specjalista</t>
  </si>
  <si>
    <t xml:space="preserve">WebRTC; kandydaci LiveKit/Jitsi</t>
  </si>
  <si>
    <t xml:space="preserve">Poczekalnia, tożsamość stron, zapis faktu konsultacji, obsługa zerwanego połączenia</t>
  </si>
  <si>
    <t xml:space="preserve">APP08</t>
  </si>
  <si>
    <t xml:space="preserve">Wiadomości</t>
  </si>
  <si>
    <t xml:space="preserve">Asynchroniczny kontakt</t>
  </si>
  <si>
    <t xml:space="preserve">Wątki i kierowanie do zespołu</t>
  </si>
  <si>
    <t xml:space="preserve">Wątki, uprawnienia, retencja, reguła treści w powiadomieniu</t>
  </si>
  <si>
    <t xml:space="preserve">APP09</t>
  </si>
  <si>
    <t xml:space="preserve">Przypomnienia</t>
  </si>
  <si>
    <t xml:space="preserve">Terminy i zadania</t>
  </si>
  <si>
    <t xml:space="preserve">Harmonogram i treść komunikatu</t>
  </si>
  <si>
    <t xml:space="preserve">Reguły, ciche godziny, potwierdzenia, brak danych zdrowotnych w treści</t>
  </si>
  <si>
    <t xml:space="preserve">APP10</t>
  </si>
  <si>
    <t xml:space="preserve">Trendy i wskaźniki</t>
  </si>
  <si>
    <t xml:space="preserve">Historia i proste zestawienia</t>
  </si>
  <si>
    <t xml:space="preserve">Wykresy i jawne obliczenia</t>
  </si>
  <si>
    <t xml:space="preserve">Progi istotności, metoda liczenia, opis niepewności</t>
  </si>
  <si>
    <t xml:space="preserve">APP11</t>
  </si>
  <si>
    <t xml:space="preserve">Cele i plany</t>
  </si>
  <si>
    <t xml:space="preserve">Dopasowanie zadań do celu</t>
  </si>
  <si>
    <t xml:space="preserve">Silnik celów</t>
  </si>
  <si>
    <t xml:space="preserve">Model celu, powiązanie z danymi, granica między celem a zaleceniem</t>
  </si>
  <si>
    <t xml:space="preserve">APP12</t>
  </si>
  <si>
    <t xml:space="preserve">Treści edukacyjne i audio</t>
  </si>
  <si>
    <t xml:space="preserve">Biblioteka materiałów</t>
  </si>
  <si>
    <t xml:space="preserve">WŁASNY / LICENCJA</t>
  </si>
  <si>
    <t xml:space="preserve">CMS i uprawnione treści</t>
  </si>
  <si>
    <t xml:space="preserve">Dobór, powiązanie z sytuacją użytkownika, aktualność, źródło widoczne przy treści</t>
  </si>
  <si>
    <t xml:space="preserve">Użyty w 44 funkcjach; dostawca treści niewskazany</t>
  </si>
  <si>
    <t xml:space="preserve">APP13</t>
  </si>
  <si>
    <t xml:space="preserve">Społeczność</t>
  </si>
  <si>
    <t xml:space="preserve">Forum, wydarzenia, wyzwania</t>
  </si>
  <si>
    <t xml:space="preserve">OSS + WŁASNY</t>
  </si>
  <si>
    <t xml:space="preserve">Silnik forum; moderacja</t>
  </si>
  <si>
    <t xml:space="preserve">Moderacja, reguły, ścieżka zgłoszenia, powiązanie ze ścieżką pomocy kryzysowej</t>
  </si>
  <si>
    <t xml:space="preserve">Rdzeń własny w części moderacyjnej</t>
  </si>
  <si>
    <t xml:space="preserve">APP14</t>
  </si>
  <si>
    <t xml:space="preserve">Wizualizacja 3D/XR</t>
  </si>
  <si>
    <t xml:space="preserve">Ciało i przestrzeń danych</t>
  </si>
  <si>
    <t xml:space="preserve">SDK + WŁASNY</t>
  </si>
  <si>
    <t xml:space="preserve">Generator 3D / XR</t>
  </si>
  <si>
    <t xml:space="preserve">Model danych za wizualizacją i jawne oznaczenie, co jest pomiarem, a co ilustracją</t>
  </si>
  <si>
    <t xml:space="preserve">Użyty w 31 funkcjach; wysoki koszt przy niskim priorytecie obszaru</t>
  </si>
  <si>
    <t xml:space="preserve">APP15</t>
  </si>
  <si>
    <t xml:space="preserve">Katalog technologii</t>
  </si>
  <si>
    <t xml:space="preserve">Dostawcy, IP i kompatybilność</t>
  </si>
  <si>
    <t xml:space="preserve">Rejestr Forge</t>
  </si>
  <si>
    <t xml:space="preserve">Dostawcy, zgodność, prawa, status kwalifikacji — to jest baza decyzji o wykonawcach</t>
  </si>
  <si>
    <t xml:space="preserve">Rdzeń własny; powiązany z katalogiem dostawców</t>
  </si>
  <si>
    <t xml:space="preserve">APP16</t>
  </si>
  <si>
    <t xml:space="preserve">Nabór i współpraca R&amp;D</t>
  </si>
  <si>
    <t xml:space="preserve">Ocena, mentoring, konsorcja</t>
  </si>
  <si>
    <t xml:space="preserve">WŁASNY + USŁUGI</t>
  </si>
  <si>
    <t xml:space="preserve">Przebieg pracy Hub / Forge</t>
  </si>
  <si>
    <t xml:space="preserve">Proces oceny, mentoring, konsorcja; to jest produkt Hubu, nie funkcja aplikacji</t>
  </si>
  <si>
    <t xml:space="preserve">Osobny biznes; wymaga aktualizacji planu z 2022</t>
  </si>
  <si>
    <t xml:space="preserve">APP17</t>
  </si>
  <si>
    <t xml:space="preserve">Rodzina i opiekunowie</t>
  </si>
  <si>
    <t xml:space="preserve">Profile i dostęp zastępczy</t>
  </si>
  <si>
    <t xml:space="preserve">Dostęp pełnomocnika i relacje</t>
  </si>
  <si>
    <t xml:space="preserve">Role, zakres dostępu opiekuna, dane dziecka i ich odrębna ścieżka zgód, wygaśnięcie pełnomocnictwa</t>
  </si>
  <si>
    <t xml:space="preserve">Użyty w 35 funkcjach; ścieżka zgód dla dziecka to decyzja, której nie da się dołożyć później</t>
  </si>
  <si>
    <t xml:space="preserve">APP18</t>
  </si>
  <si>
    <t xml:space="preserve">Dostępność</t>
  </si>
  <si>
    <t xml:space="preserve">Tryb prosty, czytnik, głos</t>
  </si>
  <si>
    <t xml:space="preserve">Dostępne UI i kanał wspomagany</t>
  </si>
  <si>
    <t xml:space="preserve">Tryb prosty, język, testy z osobami o ograniczonej sprawności</t>
  </si>
  <si>
    <t xml:space="preserve">Wdrożona późno oznacza przepisanie interfejsu — obszar seniorów jest docelowy</t>
  </si>
  <si>
    <t xml:space="preserve">APP19</t>
  </si>
  <si>
    <t xml:space="preserve">Rejestr leków</t>
  </si>
  <si>
    <t xml:space="preserve">Lista i przestrzeganie zaleceń</t>
  </si>
  <si>
    <t xml:space="preserve">Historia, źródło dawki, przypomnienie</t>
  </si>
  <si>
    <t xml:space="preserve">Lista, dawkowanie, przypomnienia, historia zmian, powiązanie z wynikami</t>
  </si>
  <si>
    <t xml:space="preserve">APP20</t>
  </si>
  <si>
    <t xml:space="preserve">Dziennik i bilans posiłków</t>
  </si>
  <si>
    <t xml:space="preserve">WŁASNY + DANE</t>
  </si>
  <si>
    <t xml:space="preserve">Dziennik żywienia, baza produktów, opcjonalny model rozpoznawania zdjęć</t>
  </si>
  <si>
    <t xml:space="preserve">Model bilansu, granica między informacją a zaleceniem żywieniowym</t>
  </si>
  <si>
    <t xml:space="preserve">APP21</t>
  </si>
  <si>
    <t xml:space="preserve">Dziennik, historia, coaching</t>
  </si>
  <si>
    <t xml:space="preserve">Widok snu i jawne reguły</t>
  </si>
  <si>
    <t xml:space="preserve">Oznaczenie źródła i niepewności, porównywalność między urządzeniami</t>
  </si>
  <si>
    <t xml:space="preserve">APP22</t>
  </si>
  <si>
    <t xml:space="preserve">Ruch i trening</t>
  </si>
  <si>
    <t xml:space="preserve">Plany i wykonanie ćwiczeń</t>
  </si>
  <si>
    <t xml:space="preserve">Trening, biblioteka, opcjonalna ocena pozy</t>
  </si>
  <si>
    <t xml:space="preserve">Plany, progresja, granica przeznaczenia</t>
  </si>
  <si>
    <t xml:space="preserve">APP23</t>
  </si>
  <si>
    <t xml:space="preserve">Dane genetyczne</t>
  </si>
  <si>
    <t xml:space="preserve">Import i kontrola dostępu</t>
  </si>
  <si>
    <t xml:space="preserve">Sejf danych genetycznych; interpretacja osobno</t>
  </si>
  <si>
    <t xml:space="preserve">Import, kontrola dostępu, granica: przechowujemy i pokazujemy, nie interpretujemy bez podstaw</t>
  </si>
  <si>
    <t xml:space="preserve">Dane, które nie tracą wartości — najlepszy materiał dla profilu wieloletniego</t>
  </si>
  <si>
    <t xml:space="preserve">APP24</t>
  </si>
  <si>
    <t xml:space="preserve">Zwierzęta</t>
  </si>
  <si>
    <t xml:space="preserve">Profil zwierzęcia i opieka</t>
  </si>
  <si>
    <t xml:space="preserve">Własne schematy gatunkowe</t>
  </si>
  <si>
    <t xml:space="preserve">Profil, dokumenty, szczepienia, waga, gabinet. Ten sam mechanizm co dla człowieka, bez reżimu wyrobu medycznego</t>
  </si>
  <si>
    <t xml:space="preserve">Ścieżka wejścia: gotówka i dane bez kosztu zgodności</t>
  </si>
  <si>
    <t xml:space="preserve">APP25</t>
  </si>
  <si>
    <t xml:space="preserve">Senior i rehabilitacja</t>
  </si>
  <si>
    <t xml:space="preserve">Zadania, obserwacje, opiekun</t>
  </si>
  <si>
    <t xml:space="preserve">Plan opieki i panel terapeuty</t>
  </si>
  <si>
    <t xml:space="preserve">Zadania, obserwacje, rola opiekuna, alerty. Wymaga dostępności od początku</t>
  </si>
  <si>
    <t xml:space="preserve">Segment docelowy, obsługa najtrudniejsza</t>
  </si>
  <si>
    <t xml:space="preserve">APP26</t>
  </si>
  <si>
    <t xml:space="preserve">Ubezpieczenia i świadczenia</t>
  </si>
  <si>
    <t xml:space="preserve">Polisy i nawigacja uprawnień</t>
  </si>
  <si>
    <t xml:space="preserve">Portfel polis; ocena punktowa osobno</t>
  </si>
  <si>
    <t xml:space="preserve">Import polis, zakres, terminy, nawigacja po uprawnieniach. Nie wymaga uprawnień ani umowy z ubezpieczycielem</t>
  </si>
  <si>
    <t xml:space="preserve">Wczesna rola obszaru ubezpieczeń — działa bez scoringu i bez bliźniaka</t>
  </si>
  <si>
    <t xml:space="preserve">APP27</t>
  </si>
  <si>
    <t xml:space="preserve">Analityka programów</t>
  </si>
  <si>
    <t xml:space="preserve">Agregaty i raporty organizacji</t>
  </si>
  <si>
    <t xml:space="preserve">Zestawienia z progami ujawnienia</t>
  </si>
  <si>
    <t xml:space="preserve">Raporty zbiorcze dla organizacji; dane indywidualne pracownika nie trafiają do pracodawcy</t>
  </si>
  <si>
    <t xml:space="preserve">Warunek programu pracodawcy; dziś nieprzypisany do żadnej funkcji</t>
  </si>
  <si>
    <t xml:space="preserve">APP28</t>
  </si>
  <si>
    <t xml:space="preserve">Ścieżka pomocy kryzysowej</t>
  </si>
  <si>
    <t xml:space="preserve">Stały dostęp do kontaktów pomocy</t>
  </si>
  <si>
    <t xml:space="preserve">Przekierowanie i kontakty regionalne</t>
  </si>
  <si>
    <t xml:space="preserve">Stały, nieusuwalny dostęp do kontaktów pomocy. Reguła twarda w kodzie — nie podlega konfiguracji, testom porównawczym ani wyłączeniu przez klienta</t>
  </si>
  <si>
    <t xml:space="preserve">Rdzeń własny; nie jest funkcją do optymalizacji</t>
  </si>
  <si>
    <t xml:space="preserve">APP29</t>
  </si>
  <si>
    <t xml:space="preserve">Pakiety i subskrypcje</t>
  </si>
  <si>
    <t xml:space="preserve">Katalog ofert i dostęp</t>
  </si>
  <si>
    <t xml:space="preserve">Pakiet funkcji plus CTL09</t>
  </si>
  <si>
    <t xml:space="preserve">Katalog, składanie zestawu, uprawnienia, zmiana planu</t>
  </si>
  <si>
    <t xml:space="preserve">Warunek subskrypcji składanej: użytkownik dobiera funkcje, cena wynika z zestawu</t>
  </si>
  <si>
    <t xml:space="preserve">APP30</t>
  </si>
  <si>
    <t xml:space="preserve">Operacje placówki</t>
  </si>
  <si>
    <t xml:space="preserve">Grafik, sprzęt, stany, obsada</t>
  </si>
  <si>
    <t xml:space="preserve">WŁASNY + SYSTEM PARTNERA</t>
  </si>
  <si>
    <t xml:space="preserve">Przebieg pracy kliniki, Care Poda i laboratorium</t>
  </si>
  <si>
    <t xml:space="preserve">Rozstrzygnięcie, czy w ogóle w to wchodzimy</t>
  </si>
  <si>
    <t xml:space="preserve">Do rozstrzygnięcia: czy to w ogóle nasz zakres</t>
  </si>
  <si>
    <t xml:space="preserve">SVC01</t>
  </si>
  <si>
    <t xml:space="preserve">Usługa fizyczna</t>
  </si>
  <si>
    <t xml:space="preserve">Laboratorium wykonujące badanie</t>
  </si>
  <si>
    <t xml:space="preserve">Pobranie/analiza i autoryzowany wynik</t>
  </si>
  <si>
    <t xml:space="preserve">PARTNER / WŁASNA PLACÓWKA</t>
  </si>
  <si>
    <t xml:space="preserve">Sieć laboratoryjna; umowa osobno</t>
  </si>
  <si>
    <t xml:space="preserve">Katalog, zamówienie, śledzenie, rozliczenie</t>
  </si>
  <si>
    <t xml:space="preserve">SVC02</t>
  </si>
  <si>
    <t xml:space="preserve">Usługa medyczna</t>
  </si>
  <si>
    <t xml:space="preserve">Labplus LabTest Checker</t>
  </si>
  <si>
    <t xml:space="preserve">Interpretacja wyników w określonym zakresie</t>
  </si>
  <si>
    <t xml:space="preserve">REGULOWANY PARTNER</t>
  </si>
  <si>
    <t xml:space="preserve">Labplus WebAPI; S03</t>
  </si>
  <si>
    <t xml:space="preserve">Przekazanie kontekstu, obsługa przypadku poza zakresem, rozdział odpowiedzialności</t>
  </si>
  <si>
    <t xml:space="preserve">Warunki nieustalone</t>
  </si>
  <si>
    <t xml:space="preserve">SVC03</t>
  </si>
  <si>
    <t xml:space="preserve">Pobranie próbki</t>
  </si>
  <si>
    <t xml:space="preserve">Punkt lub pobranie w domu</t>
  </si>
  <si>
    <t xml:space="preserve">PARTNER / WŁASNY ZESPÓŁ</t>
  </si>
  <si>
    <t xml:space="preserve">Uprawniony personel i operator</t>
  </si>
  <si>
    <t xml:space="preserve">Umówienie, instrukcja dla pacjenta, obsługa niepowodzenia</t>
  </si>
  <si>
    <t xml:space="preserve">SVC04</t>
  </si>
  <si>
    <t xml:space="preserve">Transport i odpady</t>
  </si>
  <si>
    <t xml:space="preserve">Logistyka próbek i materiału</t>
  </si>
  <si>
    <t xml:space="preserve">PARTNER</t>
  </si>
  <si>
    <t xml:space="preserve">Operator właściwy dla materiału</t>
  </si>
  <si>
    <t xml:space="preserve">Planowanie i rozliczenie</t>
  </si>
  <si>
    <t xml:space="preserve">SVC05</t>
  </si>
  <si>
    <t xml:space="preserve">Personel kliniczny</t>
  </si>
  <si>
    <t xml:space="preserve">Konsultacja i decyzja medyczna</t>
  </si>
  <si>
    <t xml:space="preserve">Uprawniony świadczeniodawca</t>
  </si>
  <si>
    <t xml:space="preserve">Przebieg pracy, dostęp, rozliczenie, pomiar czasu odpowiedzi</t>
  </si>
  <si>
    <t xml:space="preserve">Użyty w 45 funkcjach — pozycja kosztowa, nie technologiczna</t>
  </si>
  <si>
    <t xml:space="preserve">SVC06</t>
  </si>
  <si>
    <t xml:space="preserve">Partner terapii</t>
  </si>
  <si>
    <t xml:space="preserve">Wykonanie wskazanej terapii</t>
  </si>
  <si>
    <t xml:space="preserve">Klinika, DTx lub urządzenie dla danego celu</t>
  </si>
  <si>
    <t xml:space="preserve">Skierowanie, przekazanie kontekstu, odbiór wyniku</t>
  </si>
  <si>
    <t xml:space="preserve">Brak partnerów</t>
  </si>
  <si>
    <t xml:space="preserve">SVC07</t>
  </si>
  <si>
    <t xml:space="preserve">Usługa badawcza</t>
  </si>
  <si>
    <t xml:space="preserve">Chmurowe laboratorium mokre</t>
  </si>
  <si>
    <t xml:space="preserve">Zdalny eksperyment fizyczny</t>
  </si>
  <si>
    <t xml:space="preserve">Emerald Cloud Lab jako przykład; S07</t>
  </si>
  <si>
    <t xml:space="preserve">Protokół i interpretacja</t>
  </si>
  <si>
    <t xml:space="preserve">Zamrożone</t>
  </si>
  <si>
    <t xml:space="preserve">SVC08</t>
  </si>
  <si>
    <t xml:space="preserve">Placówka</t>
  </si>
  <si>
    <t xml:space="preserve">Klinika</t>
  </si>
  <si>
    <t xml:space="preserve">Ambulatoryjne świadczenie i personel</t>
  </si>
  <si>
    <t xml:space="preserve">Placówka partnerska; później własna</t>
  </si>
  <si>
    <t xml:space="preserve">Rozstrzygnięcie, czy wchodzimy we własną placówkę</t>
  </si>
  <si>
    <t xml:space="preserve">Do rozstrzygnięcia</t>
  </si>
  <si>
    <t xml:space="preserve">SVC09</t>
  </si>
  <si>
    <t xml:space="preserve">Szpital</t>
  </si>
  <si>
    <t xml:space="preserve">Leczenie stacjonarne i infrastruktura</t>
  </si>
  <si>
    <t xml:space="preserve">Partner szpitalny; osobny program inwestycyjny</t>
  </si>
  <si>
    <t xml:space="preserve">Nic na tym etapie</t>
  </si>
  <si>
    <t xml:space="preserve">Poza zakresem najbliższych lat</t>
  </si>
  <si>
    <t xml:space="preserve">SVC10</t>
  </si>
  <si>
    <t xml:space="preserve">Badania i walidacja</t>
  </si>
  <si>
    <t xml:space="preserve">Protokół, dane, ocena skuteczności</t>
  </si>
  <si>
    <t xml:space="preserve">PARTNER + WŁASNY PROCES</t>
  </si>
  <si>
    <t xml:space="preserve">CRO, uczelnia, laboratorium badawcze</t>
  </si>
  <si>
    <t xml:space="preserve">Protokół, dane, ocena skuteczności, decyzja o kontynuacji</t>
  </si>
  <si>
    <t xml:space="preserve">Użyty w 27 funkcjach; tam gdzie badania są drogie, szukać tańszej drogi: symulacja, modelowanie, uzasadnienie literaturowe</t>
  </si>
  <si>
    <t xml:space="preserve">HW01</t>
  </si>
  <si>
    <t xml:space="preserve">Sprzęt</t>
  </si>
  <si>
    <t xml:space="preserve">Zatwierdzone urządzenie pomiarowe</t>
  </si>
  <si>
    <t xml:space="preserve">BP, masa, SpO2, temperatura, EKG zależnie od modelu</t>
  </si>
  <si>
    <t xml:space="preserve">OEM / DYSTRYBUCJA</t>
  </si>
  <si>
    <t xml:space="preserve">Konkretny wyrób z dokumentacją</t>
  </si>
  <si>
    <t xml:space="preserve">Rejestr urządzeń, kalibracja, przypisanie do osoby, odczyt przez profil Bluetooth</t>
  </si>
  <si>
    <t xml:space="preserve">Użyty w 21 funkcjach</t>
  </si>
  <si>
    <t xml:space="preserve">HW02</t>
  </si>
  <si>
    <t xml:space="preserve">Urządzenie noszone użytkownika</t>
  </si>
  <si>
    <t xml:space="preserve">Generowanie pomiarów</t>
  </si>
  <si>
    <t xml:space="preserve">SPRZĘT ZEWNĘTRZNY</t>
  </si>
  <si>
    <t xml:space="preserve">Posiadany sprzęt; własny opcjonalnie</t>
  </si>
  <si>
    <t xml:space="preserve">Oznaczenie klasy dokładności i źródła</t>
  </si>
  <si>
    <t xml:space="preserve">Decyzja: nie budujemy własnych zegarków, budujemy adapter</t>
  </si>
  <si>
    <t xml:space="preserve">HW03</t>
  </si>
  <si>
    <t xml:space="preserve">Inteligentna odzież</t>
  </si>
  <si>
    <t xml:space="preserve">Pomiar w odzieży</t>
  </si>
  <si>
    <t xml:space="preserve">PARTNER / OEM</t>
  </si>
  <si>
    <t xml:space="preserve">Producent odzieży sensorycznej</t>
  </si>
  <si>
    <t xml:space="preserve">Adapter i rejestr urządzeń</t>
  </si>
  <si>
    <t xml:space="preserve">Kandydat do zastąpienia agregatorem danych — ten sam cel, niższy koszt</t>
  </si>
  <si>
    <t xml:space="preserve">HW04</t>
  </si>
  <si>
    <t xml:space="preserve">Gateway domowy</t>
  </si>
  <si>
    <t xml:space="preserve">Bufor i połączenie ze sprzętem</t>
  </si>
  <si>
    <t xml:space="preserve">OEM + WŁASNE OPROGRAMOWANIE</t>
  </si>
  <si>
    <t xml:space="preserve">Tablet / bramka brzegowa</t>
  </si>
  <si>
    <t xml:space="preserve">Oprogramowanie, aktualizacje, obsługa awarii łączności</t>
  </si>
  <si>
    <t xml:space="preserve">Rozważyć, czy telefon nie wystarczy</t>
  </si>
  <si>
    <t xml:space="preserve">HW05</t>
  </si>
  <si>
    <t xml:space="preserve">Care Pod</t>
  </si>
  <si>
    <t xml:space="preserve">Stanowisko konsultacji i diagnostyki</t>
  </si>
  <si>
    <t xml:space="preserve">INTEGRACJA SPRZĘTU</t>
  </si>
  <si>
    <t xml:space="preserve">Obudowa, terminal, urządzenia i obsługa</t>
  </si>
  <si>
    <t xml:space="preserve">Integracja, oprogramowanie, przebieg, serwis</t>
  </si>
  <si>
    <t xml:space="preserve">Decyzja: Station wchodzi w 2028; do tego czasu tylko wymagania</t>
  </si>
  <si>
    <t xml:space="preserve">HW06</t>
  </si>
  <si>
    <t xml:space="preserve">Analizator POCT</t>
  </si>
  <si>
    <t xml:space="preserve">Odczyt określonych testów przy pacjencie</t>
  </si>
  <si>
    <t xml:space="preserve">OEM / LICENCJA</t>
  </si>
  <si>
    <t xml:space="preserve">i-STAT jako przykład klasy; S06</t>
  </si>
  <si>
    <t xml:space="preserve">Rejestr urządzeń, kontrola jakości, mapowanie wyniku</t>
  </si>
  <si>
    <t xml:space="preserve">Użyty w 9 funkcjach</t>
  </si>
  <si>
    <t xml:space="preserve">HW07</t>
  </si>
  <si>
    <t xml:space="preserve">Wkład i odczynnik</t>
  </si>
  <si>
    <t xml:space="preserve">Materiał do konkretnego badania</t>
  </si>
  <si>
    <t xml:space="preserve">OEM / UMOWA DOSTAWY</t>
  </si>
  <si>
    <t xml:space="preserve">Kompatybilny wkład danego analizatora</t>
  </si>
  <si>
    <t xml:space="preserve">Zarządzanie stanem i terminami</t>
  </si>
  <si>
    <t xml:space="preserve">Realny koszt jednostkowy diagnostyki domowej</t>
  </si>
  <si>
    <t xml:space="preserve">HW08</t>
  </si>
  <si>
    <t xml:space="preserve">Dozownik</t>
  </si>
  <si>
    <t xml:space="preserve">Mechaniczne wydanie materiału</t>
  </si>
  <si>
    <t xml:space="preserve">OEM / ODM</t>
  </si>
  <si>
    <t xml:space="preserve">Dozownik; dawkowanie medyczne osobno</t>
  </si>
  <si>
    <t xml:space="preserve">Rejestr, reguły wydania, bezpieczny stan awarii</t>
  </si>
  <si>
    <t xml:space="preserve">Wysokie ryzyko; wymaga rozstrzygnięcia regulacyjnego</t>
  </si>
  <si>
    <t xml:space="preserve">HW09</t>
  </si>
  <si>
    <t xml:space="preserve">Znacznik NFC/Bio-Tag</t>
  </si>
  <si>
    <t xml:space="preserve">Identyfikacja obiektu lub osoby</t>
  </si>
  <si>
    <t xml:space="preserve">OEM</t>
  </si>
  <si>
    <t xml:space="preserve">Zewnętrzny NFC jako start; implant osobno</t>
  </si>
  <si>
    <t xml:space="preserve">Powiązanie znacznika z rekordem</t>
  </si>
  <si>
    <t xml:space="preserve">Tani, użyteczny w logistyce próbek</t>
  </si>
  <si>
    <t xml:space="preserve">HW10</t>
  </si>
  <si>
    <t xml:space="preserve">Czujnik biomarkerów / implant</t>
  </si>
  <si>
    <t xml:space="preserve">Pomiar określonego biomarkera</t>
  </si>
  <si>
    <t xml:space="preserve">PARTNER / R&amp;D</t>
  </si>
  <si>
    <t xml:space="preserve">Produkt zwalidowany dla wskazania; inne w R&amp;D</t>
  </si>
  <si>
    <t xml:space="preserve">R&amp;D bez gotowego wykonawcy</t>
  </si>
  <si>
    <t xml:space="preserve">Nic na tym etapie poza obserwacją rynku</t>
  </si>
  <si>
    <t xml:space="preserve">ZAMROŻONE</t>
  </si>
  <si>
    <t xml:space="preserve">Użyty w 24 funkcjach — obszar zapisany jako plan, choć nie ma wykonawcy</t>
  </si>
  <si>
    <t xml:space="preserve">HW11</t>
  </si>
  <si>
    <t xml:space="preserve">EEG/EMG i interfejs neuro</t>
  </si>
  <si>
    <t xml:space="preserve">Odczyt sygnału</t>
  </si>
  <si>
    <t xml:space="preserve">Najpierw nieinwazyjny; implant BCI osobno</t>
  </si>
  <si>
    <t xml:space="preserve">Użyty w 8 funkcjach; pozycja rejestrowa</t>
  </si>
  <si>
    <t xml:space="preserve">HW12</t>
  </si>
  <si>
    <t xml:space="preserve">Diagnostyka kapsułkowa</t>
  </si>
  <si>
    <t xml:space="preserve">Procedura i wynik kapsułki diagnostycznej</t>
  </si>
  <si>
    <t xml:space="preserve">Konkretny dopuszczony system</t>
  </si>
  <si>
    <t xml:space="preserve">Skierowanie i import wyniku</t>
  </si>
  <si>
    <t xml:space="preserve">Pozycja rejestrowa</t>
  </si>
  <si>
    <t xml:space="preserve">HW13</t>
  </si>
  <si>
    <t xml:space="preserve">Robot i aktuator</t>
  </si>
  <si>
    <t xml:space="preserve">Ruch, obsługa, interakcja</t>
  </si>
  <si>
    <t xml:space="preserve">Platforma robotyczna; bezpieczeństwo osobno</t>
  </si>
  <si>
    <t xml:space="preserve">Nic</t>
  </si>
  <si>
    <t xml:space="preserve">HW14</t>
  </si>
  <si>
    <t xml:space="preserve">R&amp;D</t>
  </si>
  <si>
    <t xml:space="preserve">Własny lab-on-chip</t>
  </si>
  <si>
    <t xml:space="preserve">Mikrofluidyka i test dla konkretnego analitu</t>
  </si>
  <si>
    <t xml:space="preserve">PARTNER R&amp;D / WŁASNE IP</t>
  </si>
  <si>
    <t xml:space="preserve">Chip, chemia, optyka, elektronika, czytnik</t>
  </si>
  <si>
    <t xml:space="preserve">Wszystko — od hipotezy po walidację</t>
  </si>
  <si>
    <t xml:space="preserve">Zamrożone jako pole protokołu, nie pozycja planu</t>
  </si>
  <si>
    <t xml:space="preserve">HW15</t>
  </si>
  <si>
    <t xml:space="preserve">Obudowa, zasilanie i serwis</t>
  </si>
  <si>
    <t xml:space="preserve">Fizyczne utrzymanie urządzenia</t>
  </si>
  <si>
    <t xml:space="preserve">Projekt partnera lub własny</t>
  </si>
  <si>
    <t xml:space="preserve">Specyfikacja i odbiór</t>
  </si>
  <si>
    <t xml:space="preserve">Dotyczy wyłącznie Station</t>
  </si>
  <si>
    <t xml:space="preserve">HW16</t>
  </si>
  <si>
    <t xml:space="preserve">Firmware i aktualizacje</t>
  </si>
  <si>
    <t xml:space="preserve">Sterowanie, kalibracja, bezpieczny update</t>
  </si>
  <si>
    <t xml:space="preserve">OEM / WŁASNY</t>
  </si>
  <si>
    <t xml:space="preserve">Firmware partnera; własne wybrane warstwy</t>
  </si>
  <si>
    <t xml:space="preserve">Polityka aktualizacji i wycofania wersji</t>
  </si>
  <si>
    <t xml:space="preserve">RND01</t>
  </si>
  <si>
    <t xml:space="preserve">Program bez gotowego wykonawcy</t>
  </si>
  <si>
    <t xml:space="preserve">Weryfikacja hipotezy technicznej</t>
  </si>
  <si>
    <t xml:space="preserve">BADANIA / OBSERWACJA</t>
  </si>
  <si>
    <t xml:space="preserve">Brak potwierdzonego komponentu produkcyjnego</t>
  </si>
  <si>
    <t xml:space="preserve">Hipoteza, protokół walidacji, bramka wejścia i wyjścia, decyzja o kontynuacji</t>
  </si>
  <si>
    <t xml:space="preserve">Występuje w 90 funkcjach — 14 procent rejestru nie ma wykonawcy i to jest najważniejsza liczba w tym pliku</t>
  </si>
  <si>
    <t xml:space="preserve">AI13</t>
  </si>
  <si>
    <t xml:space="preserve">Kontrola AI</t>
  </si>
  <si>
    <t xml:space="preserve">Weryfikator cytowań i odpowiedzi</t>
  </si>
  <si>
    <t xml:space="preserve">Powiązanie twierdzenia z dostępnym fragmentem źródła; wykrycie braku podstaw</t>
  </si>
  <si>
    <t xml:space="preserve">WŁASNA LOGIKA + narzędzia wymienne</t>
  </si>
  <si>
    <t xml:space="preserve">Reguły, retriever i ewaluacja Eternal</t>
  </si>
  <si>
    <t xml:space="preserve">Powiązanie twierdzenia z fragmentem źródła, wykrycie braku podstaw, wymuszenie odmowy</t>
  </si>
  <si>
    <t xml:space="preserve">Rdzeń własny; nieprzypisany dziś do żadnej funkcji, mimo że warunkuje cały obszar wiedzy</t>
  </si>
  <si>
    <t xml:space="preserve">INT19</t>
  </si>
  <si>
    <t xml:space="preserve">Kandydat zewnętrzny</t>
  </si>
  <si>
    <t xml:space="preserve">OpenEvidence — integracja warunkowa</t>
  </si>
  <si>
    <t xml:space="preserve">Możliwy zewnętrzny wykonawca części odpowiedzi opartych na źródłach</t>
  </si>
  <si>
    <t xml:space="preserve">DO WERYFIKACJI B2B</t>
  </si>
  <si>
    <t xml:space="preserve">Firma wskazana przez użytkownika; brak potwierdzonego API/licencji dla Eternal</t>
  </si>
  <si>
    <t xml:space="preserve">Własny korpus, reguły odmowy, walidator cytowań, brama przeznaczenia, rejestr wersji odpowiedzi. Nie da się tego wstawić jako czarnej skrzynki</t>
  </si>
  <si>
    <t xml:space="preserve">Regulamin publiczny; zakres dla naszego przypadku niezweryfikowany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</si>
</sst>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C5F66"/>
        <bgColor rgb="FF008080"/>
      </patternFill>
    </fill>
    <fill>
      <patternFill patternType="solid">
        <fgColor rgb="FFE0F0E6"/>
        <bgColor rgb="FFDCECEC"/>
      </patternFill>
    </fill>
    <fill>
      <patternFill patternType="solid">
        <fgColor rgb="FFDCECEC"/>
        <bgColor rgb="FFE0F0E6"/>
      </patternFill>
    </fill>
    <fill>
      <patternFill patternType="solid">
        <fgColor rgb="FFFBEFD6"/>
        <bgColor rgb="FFFAE5E2"/>
      </patternFill>
    </fill>
    <fill>
      <patternFill patternType="solid">
        <fgColor rgb="FFFAE5E2"/>
        <bgColor rgb="FFFBEFD6"/>
      </patternFill>
    </fill>
    <fill>
      <patternFill patternType="solid">
        <fgColor rgb="FFE7ECEA"/>
        <bgColor rgb="FFE0F0E6"/>
      </patternFill>
    </fill>
    <fill>
      <patternFill patternType="solid">
        <fgColor rgb="FFECE8F8"/>
        <bgColor rgb="FFE7ECE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DF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C5F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CEC"/>
          <bgColor rgb="FF000000"/>
        </patternFill>
      </fill>
    </dxf>
    <dxf>
      <fill>
        <patternFill patternType="solid">
          <fgColor rgb="FFE0F0E6"/>
          <bgColor rgb="FF000000"/>
        </patternFill>
      </fill>
    </dxf>
    <dxf>
      <fill>
        <patternFill patternType="solid">
          <fgColor rgb="FFE7ECEA"/>
          <bgColor rgb="FF000000"/>
        </patternFill>
      </fill>
    </dxf>
    <dxf>
      <fill>
        <patternFill patternType="solid">
          <fgColor rgb="FFECE8F8"/>
          <bgColor rgb="FF000000"/>
        </patternFill>
      </fill>
    </dxf>
    <dxf>
      <fill>
        <patternFill patternType="solid">
          <fgColor rgb="FFFAE5E2"/>
          <bgColor rgb="FF000000"/>
        </patternFill>
      </fill>
    </dxf>
    <dxf>
      <fill>
        <patternFill patternType="solid">
          <fgColor rgb="FFFBEF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C5F66"/>
      <rgbColor rgb="FFC0C0C0"/>
      <rgbColor rgb="FF808080"/>
      <rgbColor rgb="FF9999FF"/>
      <rgbColor rgb="FF993366"/>
      <rgbColor rgb="FFFBEFD6"/>
      <rgbColor rgb="FFE0F0E6"/>
      <rgbColor rgb="FF660066"/>
      <rgbColor rgb="FFFF8080"/>
      <rgbColor rgb="FF0066CC"/>
      <rgbColor rgb="FFD7DF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CEC"/>
      <rgbColor rgb="FFE7ECEA"/>
      <rgbColor rgb="FFECE8F8"/>
      <rgbColor rgb="FF99CCFF"/>
      <rgbColor rgb="FFFF99CC"/>
      <rgbColor rgb="FFCC99FF"/>
      <rgbColor rgb="FFFAE5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23.8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</row>
    <row r="7" customFormat="false" ht="15" hidden="false" customHeight="false" outlineLevel="0" collapsed="false">
      <c r="A7" s="2" t="s">
        <v>10</v>
      </c>
      <c r="B7" s="3" t="s">
        <v>11</v>
      </c>
    </row>
    <row r="8" customFormat="false" ht="15" hidden="false" customHeight="false" outlineLevel="0" collapsed="false">
      <c r="A8" s="2" t="s">
        <v>12</v>
      </c>
      <c r="B8" s="3" t="s">
        <v>13</v>
      </c>
    </row>
    <row r="9" customFormat="false" ht="15" hidden="false" customHeight="false" outlineLevel="0" collapsed="false">
      <c r="A9" s="2" t="s">
        <v>14</v>
      </c>
      <c r="B9" s="3" t="s">
        <v>15</v>
      </c>
    </row>
    <row r="10" customFormat="false" ht="15" hidden="false" customHeight="false" outlineLevel="0" collapsed="false">
      <c r="A10" s="2" t="s">
        <v>16</v>
      </c>
      <c r="B10" s="3" t="s">
        <v>17</v>
      </c>
    </row>
    <row r="11" customFormat="false" ht="15" hidden="false" customHeight="false" outlineLevel="0" collapsed="false">
      <c r="A11" s="2" t="s">
        <v>18</v>
      </c>
      <c r="B11" s="3" t="s">
        <v>19</v>
      </c>
    </row>
    <row r="12" customFormat="false" ht="35.05" hidden="false" customHeight="false" outlineLevel="0" collapsed="false">
      <c r="A12" s="2" t="s">
        <v>20</v>
      </c>
      <c r="B12" s="3" t="s">
        <v>21</v>
      </c>
    </row>
    <row r="13" customFormat="false" ht="23.85" hidden="false" customHeight="false" outlineLevel="0" collapsed="false">
      <c r="A13" s="2" t="s">
        <v>22</v>
      </c>
      <c r="B13" s="3" t="s">
        <v>23</v>
      </c>
    </row>
    <row r="14" customFormat="false" ht="15" hidden="false" customHeight="false" outlineLevel="0" collapsed="false">
      <c r="A14" s="2" t="s">
        <v>24</v>
      </c>
      <c r="B14" s="3" t="s">
        <v>25</v>
      </c>
    </row>
    <row r="15" customFormat="false" ht="23.85" hidden="false" customHeight="false" outlineLevel="0" collapsed="false">
      <c r="A15" s="2" t="s">
        <v>26</v>
      </c>
      <c r="B15" s="3" t="s">
        <v>27</v>
      </c>
    </row>
    <row r="16" customFormat="false" ht="23.85" hidden="false" customHeight="false" outlineLevel="0" collapsed="false">
      <c r="A16" s="2" t="s">
        <v>28</v>
      </c>
      <c r="B16" s="3" t="s">
        <v>29</v>
      </c>
    </row>
    <row r="17" customFormat="false" ht="23.85" hidden="false" customHeight="false" outlineLevel="0" collapsed="false">
      <c r="A17" s="2" t="s">
        <v>30</v>
      </c>
      <c r="B17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60"/>
    <col collapsed="false" customWidth="true" hidden="false" outlineLevel="0" max="8" min="5" style="0" width="13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32</v>
      </c>
    </row>
    <row r="3" customFormat="false" ht="15" hidden="false" customHeight="false" outlineLevel="0" collapsed="false">
      <c r="A3" s="4" t="s">
        <v>33</v>
      </c>
      <c r="B3" s="4" t="s">
        <v>34</v>
      </c>
      <c r="C3" s="4" t="s">
        <v>35</v>
      </c>
      <c r="D3" s="4" t="s">
        <v>36</v>
      </c>
    </row>
    <row r="4" customFormat="false" ht="35.05" hidden="false" customHeight="false" outlineLevel="0" collapsed="false">
      <c r="A4" s="5" t="s">
        <v>37</v>
      </c>
      <c r="B4" s="3" t="s">
        <v>38</v>
      </c>
      <c r="C4" s="3" t="s">
        <v>39</v>
      </c>
      <c r="D4" s="3" t="s">
        <v>40</v>
      </c>
    </row>
    <row r="5" customFormat="false" ht="23.85" hidden="false" customHeight="false" outlineLevel="0" collapsed="false">
      <c r="A5" s="5" t="s">
        <v>41</v>
      </c>
      <c r="B5" s="3" t="s">
        <v>42</v>
      </c>
      <c r="C5" s="3" t="s">
        <v>43</v>
      </c>
      <c r="D5" s="3" t="s">
        <v>44</v>
      </c>
    </row>
    <row r="6" customFormat="false" ht="23.85" hidden="false" customHeight="false" outlineLevel="0" collapsed="false">
      <c r="A6" s="5" t="s">
        <v>45</v>
      </c>
      <c r="B6" s="3" t="s">
        <v>46</v>
      </c>
      <c r="C6" s="3" t="s">
        <v>47</v>
      </c>
      <c r="D6" s="3" t="s">
        <v>48</v>
      </c>
    </row>
    <row r="7" customFormat="false" ht="23.85" hidden="false" customHeight="false" outlineLevel="0" collapsed="false">
      <c r="A7" s="5" t="s">
        <v>49</v>
      </c>
      <c r="B7" s="3" t="s">
        <v>50</v>
      </c>
      <c r="C7" s="3" t="s">
        <v>51</v>
      </c>
      <c r="D7" s="3" t="s">
        <v>52</v>
      </c>
    </row>
    <row r="8" customFormat="false" ht="15" hidden="false" customHeight="false" outlineLevel="0" collapsed="false">
      <c r="A8" s="5" t="s">
        <v>53</v>
      </c>
      <c r="B8" s="3" t="s">
        <v>54</v>
      </c>
      <c r="C8" s="3" t="s">
        <v>55</v>
      </c>
      <c r="D8" s="3" t="s">
        <v>56</v>
      </c>
    </row>
    <row r="9" customFormat="false" ht="15" hidden="false" customHeight="false" outlineLevel="0" collapsed="false">
      <c r="A9" s="5" t="s">
        <v>57</v>
      </c>
      <c r="B9" s="3" t="s">
        <v>58</v>
      </c>
      <c r="C9" s="3" t="s">
        <v>59</v>
      </c>
      <c r="D9" s="3" t="s">
        <v>60</v>
      </c>
    </row>
    <row r="10" customFormat="false" ht="23.85" hidden="false" customHeight="false" outlineLevel="0" collapsed="false">
      <c r="A10" s="5" t="s">
        <v>61</v>
      </c>
      <c r="B10" s="3" t="s">
        <v>62</v>
      </c>
      <c r="C10" s="3" t="s">
        <v>63</v>
      </c>
      <c r="D10" s="3" t="s">
        <v>64</v>
      </c>
    </row>
    <row r="12" customFormat="false" ht="15" hidden="false" customHeight="false" outlineLevel="0" collapsed="false">
      <c r="A12" s="2" t="s">
        <v>65</v>
      </c>
    </row>
    <row r="13" customFormat="false" ht="23.85" hidden="false" customHeight="false" outlineLevel="0" collapsed="false">
      <c r="A13" s="4" t="s">
        <v>33</v>
      </c>
      <c r="B13" s="4" t="s">
        <v>7</v>
      </c>
      <c r="C13" s="4" t="s">
        <v>66</v>
      </c>
      <c r="D13" s="4" t="s">
        <v>67</v>
      </c>
      <c r="E13" s="4" t="s">
        <v>68</v>
      </c>
      <c r="F13" s="4" t="s">
        <v>69</v>
      </c>
      <c r="G13" s="4" t="s">
        <v>70</v>
      </c>
      <c r="H13" s="4" t="s">
        <v>71</v>
      </c>
      <c r="I13" s="4" t="s">
        <v>72</v>
      </c>
    </row>
    <row r="14" customFormat="false" ht="15" hidden="false" customHeight="false" outlineLevel="0" collapsed="false">
      <c r="A14" s="6" t="s">
        <v>37</v>
      </c>
      <c r="B14" s="6" t="s">
        <v>73</v>
      </c>
      <c r="C14" s="6" t="n">
        <f aca="false">COUNTIFS(P1_APLIKACJA!$D:$D,$B14,P1_APLIKACJA!$L:$L,"A")</f>
        <v>27</v>
      </c>
      <c r="D14" s="6" t="n">
        <f aca="false">COUNTIFS(P1_APLIKACJA!$D:$D,$B14,P1_APLIKACJA!$L:$L,"B")</f>
        <v>12</v>
      </c>
      <c r="E14" s="6" t="n">
        <f aca="false">COUNTIFS(P1_APLIKACJA!$D:$D,$B14,P1_APLIKACJA!$L:$L,"C")</f>
        <v>3</v>
      </c>
      <c r="F14" s="6" t="n">
        <f aca="false">COUNTIFS(P1_APLIKACJA!$D:$D,$B14,P1_APLIKACJA!$L:$L,"D")</f>
        <v>0</v>
      </c>
      <c r="G14" s="6" t="n">
        <f aca="false">COUNTIFS(P1_APLIKACJA!$D:$D,$B14,P1_APLIKACJA!$L:$L,"E")</f>
        <v>0</v>
      </c>
      <c r="H14" s="2" t="n">
        <f aca="false">SUM(C14:G14)</f>
        <v>42</v>
      </c>
      <c r="I14" s="7" t="n">
        <f aca="false">IF(H14=0,"-",(C14+D14)/H14)</f>
        <v>0.928571428571429</v>
      </c>
    </row>
    <row r="15" customFormat="false" ht="15" hidden="false" customHeight="false" outlineLevel="0" collapsed="false">
      <c r="A15" s="6" t="s">
        <v>37</v>
      </c>
      <c r="B15" s="6" t="s">
        <v>74</v>
      </c>
      <c r="C15" s="6" t="n">
        <f aca="false">COUNTIFS(P1_APLIKACJA!$D:$D,$B15,P1_APLIKACJA!$L:$L,"A")</f>
        <v>11</v>
      </c>
      <c r="D15" s="6" t="n">
        <f aca="false">COUNTIFS(P1_APLIKACJA!$D:$D,$B15,P1_APLIKACJA!$L:$L,"B")</f>
        <v>15</v>
      </c>
      <c r="E15" s="6" t="n">
        <f aca="false">COUNTIFS(P1_APLIKACJA!$D:$D,$B15,P1_APLIKACJA!$L:$L,"C")</f>
        <v>11</v>
      </c>
      <c r="F15" s="6" t="n">
        <f aca="false">COUNTIFS(P1_APLIKACJA!$D:$D,$B15,P1_APLIKACJA!$L:$L,"D")</f>
        <v>5</v>
      </c>
      <c r="G15" s="6" t="n">
        <f aca="false">COUNTIFS(P1_APLIKACJA!$D:$D,$B15,P1_APLIKACJA!$L:$L,"E")</f>
        <v>0</v>
      </c>
      <c r="H15" s="2" t="n">
        <f aca="false">SUM(C15:G15)</f>
        <v>42</v>
      </c>
      <c r="I15" s="7" t="n">
        <f aca="false">IF(H15=0,"-",(C15+D15)/H15)</f>
        <v>0.619047619047619</v>
      </c>
    </row>
    <row r="16" customFormat="false" ht="15" hidden="false" customHeight="false" outlineLevel="0" collapsed="false">
      <c r="A16" s="6" t="s">
        <v>37</v>
      </c>
      <c r="B16" s="6" t="s">
        <v>75</v>
      </c>
      <c r="C16" s="6" t="n">
        <f aca="false">COUNTIFS(P1_APLIKACJA!$D:$D,$B16,P1_APLIKACJA!$L:$L,"A")</f>
        <v>4</v>
      </c>
      <c r="D16" s="6" t="n">
        <f aca="false">COUNTIFS(P1_APLIKACJA!$D:$D,$B16,P1_APLIKACJA!$L:$L,"B")</f>
        <v>15</v>
      </c>
      <c r="E16" s="6" t="n">
        <f aca="false">COUNTIFS(P1_APLIKACJA!$D:$D,$B16,P1_APLIKACJA!$L:$L,"C")</f>
        <v>15</v>
      </c>
      <c r="F16" s="6" t="n">
        <f aca="false">COUNTIFS(P1_APLIKACJA!$D:$D,$B16,P1_APLIKACJA!$L:$L,"D")</f>
        <v>8</v>
      </c>
      <c r="G16" s="6" t="n">
        <f aca="false">COUNTIFS(P1_APLIKACJA!$D:$D,$B16,P1_APLIKACJA!$L:$L,"E")</f>
        <v>0</v>
      </c>
      <c r="H16" s="2" t="n">
        <f aca="false">SUM(C16:G16)</f>
        <v>42</v>
      </c>
      <c r="I16" s="7" t="n">
        <f aca="false">IF(H16=0,"-",(C16+D16)/H16)</f>
        <v>0.452380952380952</v>
      </c>
    </row>
    <row r="17" customFormat="false" ht="15" hidden="false" customHeight="false" outlineLevel="0" collapsed="false">
      <c r="A17" s="6" t="s">
        <v>41</v>
      </c>
      <c r="B17" s="6" t="s">
        <v>73</v>
      </c>
      <c r="C17" s="6" t="n">
        <f aca="false">COUNTIFS(P2_STATION!$D:$D,$B17,P2_STATION!$L:$L,"A")</f>
        <v>2</v>
      </c>
      <c r="D17" s="6" t="n">
        <f aca="false">COUNTIFS(P2_STATION!$D:$D,$B17,P2_STATION!$L:$L,"B")</f>
        <v>0</v>
      </c>
      <c r="E17" s="6" t="n">
        <f aca="false">COUNTIFS(P2_STATION!$D:$D,$B17,P2_STATION!$L:$L,"C")</f>
        <v>5</v>
      </c>
      <c r="F17" s="6" t="n">
        <f aca="false">COUNTIFS(P2_STATION!$D:$D,$B17,P2_STATION!$L:$L,"D")</f>
        <v>0</v>
      </c>
      <c r="G17" s="6" t="n">
        <f aca="false">COUNTIFS(P2_STATION!$D:$D,$B17,P2_STATION!$L:$L,"E")</f>
        <v>0</v>
      </c>
      <c r="H17" s="2" t="n">
        <f aca="false">SUM(C17:G17)</f>
        <v>7</v>
      </c>
      <c r="I17" s="7" t="n">
        <f aca="false">IF(H17=0,"-",(C17+D17)/H17)</f>
        <v>0.285714285714286</v>
      </c>
    </row>
    <row r="18" customFormat="false" ht="15" hidden="false" customHeight="false" outlineLevel="0" collapsed="false">
      <c r="A18" s="6" t="s">
        <v>41</v>
      </c>
      <c r="B18" s="6" t="s">
        <v>74</v>
      </c>
      <c r="C18" s="6" t="n">
        <f aca="false">COUNTIFS(P2_STATION!$D:$D,$B18,P2_STATION!$L:$L,"A")</f>
        <v>0</v>
      </c>
      <c r="D18" s="6" t="n">
        <f aca="false">COUNTIFS(P2_STATION!$D:$D,$B18,P2_STATION!$L:$L,"B")</f>
        <v>0</v>
      </c>
      <c r="E18" s="6" t="n">
        <f aca="false">COUNTIFS(P2_STATION!$D:$D,$B18,P2_STATION!$L:$L,"C")</f>
        <v>7</v>
      </c>
      <c r="F18" s="6" t="n">
        <f aca="false">COUNTIFS(P2_STATION!$D:$D,$B18,P2_STATION!$L:$L,"D")</f>
        <v>0</v>
      </c>
      <c r="G18" s="6" t="n">
        <f aca="false">COUNTIFS(P2_STATION!$D:$D,$B18,P2_STATION!$L:$L,"E")</f>
        <v>0</v>
      </c>
      <c r="H18" s="2" t="n">
        <f aca="false">SUM(C18:G18)</f>
        <v>7</v>
      </c>
      <c r="I18" s="7" t="n">
        <f aca="false">IF(H18=0,"-",(C18+D18)/H18)</f>
        <v>0</v>
      </c>
    </row>
    <row r="19" customFormat="false" ht="15" hidden="false" customHeight="false" outlineLevel="0" collapsed="false">
      <c r="A19" s="6" t="s">
        <v>41</v>
      </c>
      <c r="B19" s="6" t="s">
        <v>75</v>
      </c>
      <c r="C19" s="6" t="n">
        <f aca="false">COUNTIFS(P2_STATION!$D:$D,$B19,P2_STATION!$L:$L,"A")</f>
        <v>0</v>
      </c>
      <c r="D19" s="6" t="n">
        <f aca="false">COUNTIFS(P2_STATION!$D:$D,$B19,P2_STATION!$L:$L,"B")</f>
        <v>0</v>
      </c>
      <c r="E19" s="6" t="n">
        <f aca="false">COUNTIFS(P2_STATION!$D:$D,$B19,P2_STATION!$L:$L,"C")</f>
        <v>7</v>
      </c>
      <c r="F19" s="6" t="n">
        <f aca="false">COUNTIFS(P2_STATION!$D:$D,$B19,P2_STATION!$L:$L,"D")</f>
        <v>0</v>
      </c>
      <c r="G19" s="6" t="n">
        <f aca="false">COUNTIFS(P2_STATION!$D:$D,$B19,P2_STATION!$L:$L,"E")</f>
        <v>0</v>
      </c>
      <c r="H19" s="2" t="n">
        <f aca="false">SUM(C19:G19)</f>
        <v>7</v>
      </c>
      <c r="I19" s="7" t="n">
        <f aca="false">IF(H19=0,"-",(C19+D19)/H19)</f>
        <v>0</v>
      </c>
    </row>
    <row r="20" customFormat="false" ht="15" hidden="false" customHeight="false" outlineLevel="0" collapsed="false">
      <c r="A20" s="6" t="s">
        <v>45</v>
      </c>
      <c r="B20" s="6" t="s">
        <v>73</v>
      </c>
      <c r="C20" s="6" t="n">
        <f aca="false">COUNTIFS(P3_CAPSULE!$D:$D,$B20,P3_CAPSULE!$L:$L,"A")</f>
        <v>1</v>
      </c>
      <c r="D20" s="6" t="n">
        <f aca="false">COUNTIFS(P3_CAPSULE!$D:$D,$B20,P3_CAPSULE!$L:$L,"B")</f>
        <v>2</v>
      </c>
      <c r="E20" s="6" t="n">
        <f aca="false">COUNTIFS(P3_CAPSULE!$D:$D,$B20,P3_CAPSULE!$L:$L,"C")</f>
        <v>3</v>
      </c>
      <c r="F20" s="6" t="n">
        <f aca="false">COUNTIFS(P3_CAPSULE!$D:$D,$B20,P3_CAPSULE!$L:$L,"D")</f>
        <v>0</v>
      </c>
      <c r="G20" s="6" t="n">
        <f aca="false">COUNTIFS(P3_CAPSULE!$D:$D,$B20,P3_CAPSULE!$L:$L,"E")</f>
        <v>0</v>
      </c>
      <c r="H20" s="2" t="n">
        <f aca="false">SUM(C20:G20)</f>
        <v>6</v>
      </c>
      <c r="I20" s="7" t="n">
        <f aca="false">IF(H20=0,"-",(C20+D20)/H20)</f>
        <v>0.5</v>
      </c>
    </row>
    <row r="21" customFormat="false" ht="15" hidden="false" customHeight="false" outlineLevel="0" collapsed="false">
      <c r="A21" s="6" t="s">
        <v>45</v>
      </c>
      <c r="B21" s="6" t="s">
        <v>74</v>
      </c>
      <c r="C21" s="6" t="n">
        <f aca="false">COUNTIFS(P3_CAPSULE!$D:$D,$B21,P3_CAPSULE!$L:$L,"A")</f>
        <v>0</v>
      </c>
      <c r="D21" s="6" t="n">
        <f aca="false">COUNTIFS(P3_CAPSULE!$D:$D,$B21,P3_CAPSULE!$L:$L,"B")</f>
        <v>0</v>
      </c>
      <c r="E21" s="6" t="n">
        <f aca="false">COUNTIFS(P3_CAPSULE!$D:$D,$B21,P3_CAPSULE!$L:$L,"C")</f>
        <v>5</v>
      </c>
      <c r="F21" s="6" t="n">
        <f aca="false">COUNTIFS(P3_CAPSULE!$D:$D,$B21,P3_CAPSULE!$L:$L,"D")</f>
        <v>0</v>
      </c>
      <c r="G21" s="6" t="n">
        <f aca="false">COUNTIFS(P3_CAPSULE!$D:$D,$B21,P3_CAPSULE!$L:$L,"E")</f>
        <v>1</v>
      </c>
      <c r="H21" s="2" t="n">
        <f aca="false">SUM(C21:G21)</f>
        <v>6</v>
      </c>
      <c r="I21" s="7" t="n">
        <f aca="false">IF(H21=0,"-",(C21+D21)/H21)</f>
        <v>0</v>
      </c>
    </row>
    <row r="22" customFormat="false" ht="15" hidden="false" customHeight="false" outlineLevel="0" collapsed="false">
      <c r="A22" s="6" t="s">
        <v>45</v>
      </c>
      <c r="B22" s="6" t="s">
        <v>75</v>
      </c>
      <c r="C22" s="6" t="n">
        <f aca="false">COUNTIFS(P3_CAPSULE!$D:$D,$B22,P3_CAPSULE!$L:$L,"A")</f>
        <v>0</v>
      </c>
      <c r="D22" s="6" t="n">
        <f aca="false">COUNTIFS(P3_CAPSULE!$D:$D,$B22,P3_CAPSULE!$L:$L,"B")</f>
        <v>0</v>
      </c>
      <c r="E22" s="6" t="n">
        <f aca="false">COUNTIFS(P3_CAPSULE!$D:$D,$B22,P3_CAPSULE!$L:$L,"C")</f>
        <v>3</v>
      </c>
      <c r="F22" s="6" t="n">
        <f aca="false">COUNTIFS(P3_CAPSULE!$D:$D,$B22,P3_CAPSULE!$L:$L,"D")</f>
        <v>0</v>
      </c>
      <c r="G22" s="6" t="n">
        <f aca="false">COUNTIFS(P3_CAPSULE!$D:$D,$B22,P3_CAPSULE!$L:$L,"E")</f>
        <v>3</v>
      </c>
      <c r="H22" s="2" t="n">
        <f aca="false">SUM(C22:G22)</f>
        <v>6</v>
      </c>
      <c r="I22" s="7" t="n">
        <f aca="false">IF(H22=0,"-",(C22+D22)/H22)</f>
        <v>0</v>
      </c>
    </row>
    <row r="23" customFormat="false" ht="15" hidden="false" customHeight="false" outlineLevel="0" collapsed="false">
      <c r="A23" s="6" t="s">
        <v>49</v>
      </c>
      <c r="B23" s="6" t="s">
        <v>73</v>
      </c>
      <c r="C23" s="6" t="n">
        <f aca="false">COUNTIFS(P4_DIGITAL_TWIN!$D:$D,$B23,P4_DIGITAL_TWIN!$L:$L,"A")</f>
        <v>2</v>
      </c>
      <c r="D23" s="6" t="n">
        <f aca="false">COUNTIFS(P4_DIGITAL_TWIN!$D:$D,$B23,P4_DIGITAL_TWIN!$L:$L,"B")</f>
        <v>2</v>
      </c>
      <c r="E23" s="6" t="n">
        <f aca="false">COUNTIFS(P4_DIGITAL_TWIN!$D:$D,$B23,P4_DIGITAL_TWIN!$L:$L,"C")</f>
        <v>2</v>
      </c>
      <c r="F23" s="6" t="n">
        <f aca="false">COUNTIFS(P4_DIGITAL_TWIN!$D:$D,$B23,P4_DIGITAL_TWIN!$L:$L,"D")</f>
        <v>0</v>
      </c>
      <c r="G23" s="6" t="n">
        <f aca="false">COUNTIFS(P4_DIGITAL_TWIN!$D:$D,$B23,P4_DIGITAL_TWIN!$L:$L,"E")</f>
        <v>0</v>
      </c>
      <c r="H23" s="2" t="n">
        <f aca="false">SUM(C23:G23)</f>
        <v>6</v>
      </c>
      <c r="I23" s="7" t="n">
        <f aca="false">IF(H23=0,"-",(C23+D23)/H23)</f>
        <v>0.666666666666667</v>
      </c>
    </row>
    <row r="24" customFormat="false" ht="15" hidden="false" customHeight="false" outlineLevel="0" collapsed="false">
      <c r="A24" s="6" t="s">
        <v>49</v>
      </c>
      <c r="B24" s="6" t="s">
        <v>74</v>
      </c>
      <c r="C24" s="6" t="n">
        <f aca="false">COUNTIFS(P4_DIGITAL_TWIN!$D:$D,$B24,P4_DIGITAL_TWIN!$L:$L,"A")</f>
        <v>1</v>
      </c>
      <c r="D24" s="6" t="n">
        <f aca="false">COUNTIFS(P4_DIGITAL_TWIN!$D:$D,$B24,P4_DIGITAL_TWIN!$L:$L,"B")</f>
        <v>2</v>
      </c>
      <c r="E24" s="6" t="n">
        <f aca="false">COUNTIFS(P4_DIGITAL_TWIN!$D:$D,$B24,P4_DIGITAL_TWIN!$L:$L,"C")</f>
        <v>2</v>
      </c>
      <c r="F24" s="6" t="n">
        <f aca="false">COUNTIFS(P4_DIGITAL_TWIN!$D:$D,$B24,P4_DIGITAL_TWIN!$L:$L,"D")</f>
        <v>1</v>
      </c>
      <c r="G24" s="6" t="n">
        <f aca="false">COUNTIFS(P4_DIGITAL_TWIN!$D:$D,$B24,P4_DIGITAL_TWIN!$L:$L,"E")</f>
        <v>0</v>
      </c>
      <c r="H24" s="2" t="n">
        <f aca="false">SUM(C24:G24)</f>
        <v>6</v>
      </c>
      <c r="I24" s="7" t="n">
        <f aca="false">IF(H24=0,"-",(C24+D24)/H24)</f>
        <v>0.5</v>
      </c>
    </row>
    <row r="25" customFormat="false" ht="15" hidden="false" customHeight="false" outlineLevel="0" collapsed="false">
      <c r="A25" s="6" t="s">
        <v>49</v>
      </c>
      <c r="B25" s="6" t="s">
        <v>75</v>
      </c>
      <c r="C25" s="6" t="n">
        <f aca="false">COUNTIFS(P4_DIGITAL_TWIN!$D:$D,$B25,P4_DIGITAL_TWIN!$L:$L,"A")</f>
        <v>1</v>
      </c>
      <c r="D25" s="6" t="n">
        <f aca="false">COUNTIFS(P4_DIGITAL_TWIN!$D:$D,$B25,P4_DIGITAL_TWIN!$L:$L,"B")</f>
        <v>2</v>
      </c>
      <c r="E25" s="6" t="n">
        <f aca="false">COUNTIFS(P4_DIGITAL_TWIN!$D:$D,$B25,P4_DIGITAL_TWIN!$L:$L,"C")</f>
        <v>1</v>
      </c>
      <c r="F25" s="6" t="n">
        <f aca="false">COUNTIFS(P4_DIGITAL_TWIN!$D:$D,$B25,P4_DIGITAL_TWIN!$L:$L,"D")</f>
        <v>2</v>
      </c>
      <c r="G25" s="6" t="n">
        <f aca="false">COUNTIFS(P4_DIGITAL_TWIN!$D:$D,$B25,P4_DIGITAL_TWIN!$L:$L,"E")</f>
        <v>0</v>
      </c>
      <c r="H25" s="2" t="n">
        <f aca="false">SUM(C25:G25)</f>
        <v>6</v>
      </c>
      <c r="I25" s="7" t="n">
        <f aca="false">IF(H25=0,"-",(C25+D25)/H25)</f>
        <v>0.5</v>
      </c>
    </row>
    <row r="26" customFormat="false" ht="15" hidden="false" customHeight="false" outlineLevel="0" collapsed="false">
      <c r="A26" s="6" t="s">
        <v>53</v>
      </c>
      <c r="B26" s="6" t="s">
        <v>73</v>
      </c>
      <c r="C26" s="6" t="n">
        <f aca="false">COUNTIFS(P5_MATRIX!$D:$D,$B26,P5_MATRIX!$L:$L,"A")</f>
        <v>2</v>
      </c>
      <c r="D26" s="6" t="n">
        <f aca="false">COUNTIFS(P5_MATRIX!$D:$D,$B26,P5_MATRIX!$L:$L,"B")</f>
        <v>0</v>
      </c>
      <c r="E26" s="6" t="n">
        <f aca="false">COUNTIFS(P5_MATRIX!$D:$D,$B26,P5_MATRIX!$L:$L,"C")</f>
        <v>1</v>
      </c>
      <c r="F26" s="6" t="n">
        <f aca="false">COUNTIFS(P5_MATRIX!$D:$D,$B26,P5_MATRIX!$L:$L,"D")</f>
        <v>0</v>
      </c>
      <c r="G26" s="6" t="n">
        <f aca="false">COUNTIFS(P5_MATRIX!$D:$D,$B26,P5_MATRIX!$L:$L,"E")</f>
        <v>0</v>
      </c>
      <c r="H26" s="2" t="n">
        <f aca="false">SUM(C26:G26)</f>
        <v>3</v>
      </c>
      <c r="I26" s="7" t="n">
        <f aca="false">IF(H26=0,"-",(C26+D26)/H26)</f>
        <v>0.666666666666667</v>
      </c>
    </row>
    <row r="27" customFormat="false" ht="15" hidden="false" customHeight="false" outlineLevel="0" collapsed="false">
      <c r="A27" s="6" t="s">
        <v>53</v>
      </c>
      <c r="B27" s="6" t="s">
        <v>74</v>
      </c>
      <c r="C27" s="6" t="n">
        <f aca="false">COUNTIFS(P5_MATRIX!$D:$D,$B27,P5_MATRIX!$L:$L,"A")</f>
        <v>1</v>
      </c>
      <c r="D27" s="6" t="n">
        <f aca="false">COUNTIFS(P5_MATRIX!$D:$D,$B27,P5_MATRIX!$L:$L,"B")</f>
        <v>1</v>
      </c>
      <c r="E27" s="6" t="n">
        <f aca="false">COUNTIFS(P5_MATRIX!$D:$D,$B27,P5_MATRIX!$L:$L,"C")</f>
        <v>1</v>
      </c>
      <c r="F27" s="6" t="n">
        <f aca="false">COUNTIFS(P5_MATRIX!$D:$D,$B27,P5_MATRIX!$L:$L,"D")</f>
        <v>0</v>
      </c>
      <c r="G27" s="6" t="n">
        <f aca="false">COUNTIFS(P5_MATRIX!$D:$D,$B27,P5_MATRIX!$L:$L,"E")</f>
        <v>0</v>
      </c>
      <c r="H27" s="2" t="n">
        <f aca="false">SUM(C27:G27)</f>
        <v>3</v>
      </c>
      <c r="I27" s="7" t="n">
        <f aca="false">IF(H27=0,"-",(C27+D27)/H27)</f>
        <v>0.666666666666667</v>
      </c>
    </row>
    <row r="28" customFormat="false" ht="15" hidden="false" customHeight="false" outlineLevel="0" collapsed="false">
      <c r="A28" s="6" t="s">
        <v>53</v>
      </c>
      <c r="B28" s="6" t="s">
        <v>75</v>
      </c>
      <c r="C28" s="6" t="n">
        <f aca="false">COUNTIFS(P5_MATRIX!$D:$D,$B28,P5_MATRIX!$L:$L,"A")</f>
        <v>1</v>
      </c>
      <c r="D28" s="6" t="n">
        <f aca="false">COUNTIFS(P5_MATRIX!$D:$D,$B28,P5_MATRIX!$L:$L,"B")</f>
        <v>1</v>
      </c>
      <c r="E28" s="6" t="n">
        <f aca="false">COUNTIFS(P5_MATRIX!$D:$D,$B28,P5_MATRIX!$L:$L,"C")</f>
        <v>1</v>
      </c>
      <c r="F28" s="6" t="n">
        <f aca="false">COUNTIFS(P5_MATRIX!$D:$D,$B28,P5_MATRIX!$L:$L,"D")</f>
        <v>0</v>
      </c>
      <c r="G28" s="6" t="n">
        <f aca="false">COUNTIFS(P5_MATRIX!$D:$D,$B28,P5_MATRIX!$L:$L,"E")</f>
        <v>0</v>
      </c>
      <c r="H28" s="2" t="n">
        <f aca="false">SUM(C28:G28)</f>
        <v>3</v>
      </c>
      <c r="I28" s="7" t="n">
        <f aca="false">IF(H28=0,"-",(C28+D28)/H28)</f>
        <v>0.666666666666667</v>
      </c>
    </row>
    <row r="29" customFormat="false" ht="15" hidden="false" customHeight="false" outlineLevel="0" collapsed="false">
      <c r="A29" s="6" t="s">
        <v>57</v>
      </c>
      <c r="B29" s="6" t="s">
        <v>73</v>
      </c>
      <c r="C29" s="6" t="n">
        <f aca="false">COUNTIFS(P6_HUB!$D:$D,$B29,P6_HUB!$L:$L,"A")</f>
        <v>1</v>
      </c>
      <c r="D29" s="6" t="n">
        <f aca="false">COUNTIFS(P6_HUB!$D:$D,$B29,P6_HUB!$L:$L,"B")</f>
        <v>1</v>
      </c>
      <c r="E29" s="6" t="n">
        <f aca="false">COUNTIFS(P6_HUB!$D:$D,$B29,P6_HUB!$L:$L,"C")</f>
        <v>0</v>
      </c>
      <c r="F29" s="6" t="n">
        <f aca="false">COUNTIFS(P6_HUB!$D:$D,$B29,P6_HUB!$L:$L,"D")</f>
        <v>0</v>
      </c>
      <c r="G29" s="6" t="n">
        <f aca="false">COUNTIFS(P6_HUB!$D:$D,$B29,P6_HUB!$L:$L,"E")</f>
        <v>0</v>
      </c>
      <c r="H29" s="2" t="n">
        <f aca="false">SUM(C29:G29)</f>
        <v>2</v>
      </c>
      <c r="I29" s="7" t="n">
        <f aca="false">IF(H29=0,"-",(C29+D29)/H29)</f>
        <v>1</v>
      </c>
    </row>
    <row r="30" customFormat="false" ht="15" hidden="false" customHeight="false" outlineLevel="0" collapsed="false">
      <c r="A30" s="6" t="s">
        <v>57</v>
      </c>
      <c r="B30" s="6" t="s">
        <v>74</v>
      </c>
      <c r="C30" s="6" t="n">
        <f aca="false">COUNTIFS(P6_HUB!$D:$D,$B30,P6_HUB!$L:$L,"A")</f>
        <v>0</v>
      </c>
      <c r="D30" s="6" t="n">
        <f aca="false">COUNTIFS(P6_HUB!$D:$D,$B30,P6_HUB!$L:$L,"B")</f>
        <v>2</v>
      </c>
      <c r="E30" s="6" t="n">
        <f aca="false">COUNTIFS(P6_HUB!$D:$D,$B30,P6_HUB!$L:$L,"C")</f>
        <v>0</v>
      </c>
      <c r="F30" s="6" t="n">
        <f aca="false">COUNTIFS(P6_HUB!$D:$D,$B30,P6_HUB!$L:$L,"D")</f>
        <v>0</v>
      </c>
      <c r="G30" s="6" t="n">
        <f aca="false">COUNTIFS(P6_HUB!$D:$D,$B30,P6_HUB!$L:$L,"E")</f>
        <v>0</v>
      </c>
      <c r="H30" s="2" t="n">
        <f aca="false">SUM(C30:G30)</f>
        <v>2</v>
      </c>
      <c r="I30" s="7" t="n">
        <f aca="false">IF(H30=0,"-",(C30+D30)/H30)</f>
        <v>1</v>
      </c>
    </row>
    <row r="31" customFormat="false" ht="15" hidden="false" customHeight="false" outlineLevel="0" collapsed="false">
      <c r="A31" s="6" t="s">
        <v>57</v>
      </c>
      <c r="B31" s="6" t="s">
        <v>75</v>
      </c>
      <c r="C31" s="6" t="n">
        <f aca="false">COUNTIFS(P6_HUB!$D:$D,$B31,P6_HUB!$L:$L,"A")</f>
        <v>0</v>
      </c>
      <c r="D31" s="6" t="n">
        <f aca="false">COUNTIFS(P6_HUB!$D:$D,$B31,P6_HUB!$L:$L,"B")</f>
        <v>1</v>
      </c>
      <c r="E31" s="6" t="n">
        <f aca="false">COUNTIFS(P6_HUB!$D:$D,$B31,P6_HUB!$L:$L,"C")</f>
        <v>1</v>
      </c>
      <c r="F31" s="6" t="n">
        <f aca="false">COUNTIFS(P6_HUB!$D:$D,$B31,P6_HUB!$L:$L,"D")</f>
        <v>0</v>
      </c>
      <c r="G31" s="6" t="n">
        <f aca="false">COUNTIFS(P6_HUB!$D:$D,$B31,P6_HUB!$L:$L,"E")</f>
        <v>0</v>
      </c>
      <c r="H31" s="2" t="n">
        <f aca="false">SUM(C31:G31)</f>
        <v>2</v>
      </c>
      <c r="I31" s="7" t="n">
        <f aca="false">IF(H31=0,"-",(C31+D31)/H31)</f>
        <v>0.5</v>
      </c>
    </row>
    <row r="32" customFormat="false" ht="15" hidden="false" customHeight="false" outlineLevel="0" collapsed="false">
      <c r="A32" s="6" t="s">
        <v>61</v>
      </c>
      <c r="B32" s="6" t="s">
        <v>73</v>
      </c>
      <c r="C32" s="6" t="n">
        <f aca="false">COUNTIFS(P7_FORGE!$D:$D,$B32,P7_FORGE!$L:$L,"A")</f>
        <v>3</v>
      </c>
      <c r="D32" s="6" t="n">
        <f aca="false">COUNTIFS(P7_FORGE!$D:$D,$B32,P7_FORGE!$L:$L,"B")</f>
        <v>0</v>
      </c>
      <c r="E32" s="6" t="n">
        <f aca="false">COUNTIFS(P7_FORGE!$D:$D,$B32,P7_FORGE!$L:$L,"C")</f>
        <v>0</v>
      </c>
      <c r="F32" s="6" t="n">
        <f aca="false">COUNTIFS(P7_FORGE!$D:$D,$B32,P7_FORGE!$L:$L,"D")</f>
        <v>0</v>
      </c>
      <c r="G32" s="6" t="n">
        <f aca="false">COUNTIFS(P7_FORGE!$D:$D,$B32,P7_FORGE!$L:$L,"E")</f>
        <v>0</v>
      </c>
      <c r="H32" s="2" t="n">
        <f aca="false">SUM(C32:G32)</f>
        <v>3</v>
      </c>
      <c r="I32" s="7" t="n">
        <f aca="false">IF(H32=0,"-",(C32+D32)/H32)</f>
        <v>1</v>
      </c>
    </row>
    <row r="33" customFormat="false" ht="15" hidden="false" customHeight="false" outlineLevel="0" collapsed="false">
      <c r="A33" s="6" t="s">
        <v>61</v>
      </c>
      <c r="B33" s="6" t="s">
        <v>74</v>
      </c>
      <c r="C33" s="6" t="n">
        <f aca="false">COUNTIFS(P7_FORGE!$D:$D,$B33,P7_FORGE!$L:$L,"A")</f>
        <v>1</v>
      </c>
      <c r="D33" s="6" t="n">
        <f aca="false">COUNTIFS(P7_FORGE!$D:$D,$B33,P7_FORGE!$L:$L,"B")</f>
        <v>2</v>
      </c>
      <c r="E33" s="6" t="n">
        <f aca="false">COUNTIFS(P7_FORGE!$D:$D,$B33,P7_FORGE!$L:$L,"C")</f>
        <v>0</v>
      </c>
      <c r="F33" s="6" t="n">
        <f aca="false">COUNTIFS(P7_FORGE!$D:$D,$B33,P7_FORGE!$L:$L,"D")</f>
        <v>0</v>
      </c>
      <c r="G33" s="6" t="n">
        <f aca="false">COUNTIFS(P7_FORGE!$D:$D,$B33,P7_FORGE!$L:$L,"E")</f>
        <v>0</v>
      </c>
      <c r="H33" s="2" t="n">
        <f aca="false">SUM(C33:G33)</f>
        <v>3</v>
      </c>
      <c r="I33" s="7" t="n">
        <f aca="false">IF(H33=0,"-",(C33+D33)/H33)</f>
        <v>1</v>
      </c>
    </row>
    <row r="34" customFormat="false" ht="15" hidden="false" customHeight="false" outlineLevel="0" collapsed="false">
      <c r="A34" s="6" t="s">
        <v>61</v>
      </c>
      <c r="B34" s="6" t="s">
        <v>75</v>
      </c>
      <c r="C34" s="6" t="n">
        <f aca="false">COUNTIFS(P7_FORGE!$D:$D,$B34,P7_FORGE!$L:$L,"A")</f>
        <v>1</v>
      </c>
      <c r="D34" s="6" t="n">
        <f aca="false">COUNTIFS(P7_FORGE!$D:$D,$B34,P7_FORGE!$L:$L,"B")</f>
        <v>2</v>
      </c>
      <c r="E34" s="6" t="n">
        <f aca="false">COUNTIFS(P7_FORGE!$D:$D,$B34,P7_FORGE!$L:$L,"C")</f>
        <v>0</v>
      </c>
      <c r="F34" s="6" t="n">
        <f aca="false">COUNTIFS(P7_FORGE!$D:$D,$B34,P7_FORGE!$L:$L,"D")</f>
        <v>0</v>
      </c>
      <c r="G34" s="6" t="n">
        <f aca="false">COUNTIFS(P7_FORGE!$D:$D,$B34,P7_FORGE!$L:$L,"E")</f>
        <v>0</v>
      </c>
      <c r="H34" s="2" t="n">
        <f aca="false">SUM(C34:G34)</f>
        <v>3</v>
      </c>
      <c r="I34" s="7" t="n">
        <f aca="false">IF(H34=0,"-",(C34+D34)/H34)</f>
        <v>1</v>
      </c>
    </row>
    <row r="35" customFormat="false" ht="15" hidden="false" customHeight="false" outlineLevel="0" collapsed="false">
      <c r="A35" s="2" t="s">
        <v>71</v>
      </c>
      <c r="C35" s="2" t="n">
        <f aca="false">SUM(C14:C34)</f>
        <v>59</v>
      </c>
      <c r="D35" s="2" t="n">
        <f aca="false">SUM(D14:D34)</f>
        <v>60</v>
      </c>
      <c r="E35" s="2" t="n">
        <f aca="false">SUM(E14:E34)</f>
        <v>68</v>
      </c>
      <c r="F35" s="2" t="n">
        <f aca="false">SUM(F14:F34)</f>
        <v>16</v>
      </c>
      <c r="G35" s="2" t="n">
        <f aca="false">SUM(G14:G34)</f>
        <v>4</v>
      </c>
      <c r="H35" s="2" t="n">
        <f aca="false">SUM(H14:H34)</f>
        <v>207</v>
      </c>
      <c r="I35" s="8" t="n">
        <f aca="false">IF(H35=0,"-",(C35+D35)/H35)</f>
        <v>0.57487922705314</v>
      </c>
    </row>
    <row r="37" customFormat="false" ht="15" hidden="false" customHeight="false" outlineLevel="0" collapsed="false">
      <c r="A37" s="2" t="s">
        <v>76</v>
      </c>
    </row>
    <row r="38" customFormat="false" ht="15" hidden="false" customHeight="false" outlineLevel="0" collapsed="false">
      <c r="A38" s="9" t="s">
        <v>66</v>
      </c>
      <c r="B38" s="3" t="s">
        <v>11</v>
      </c>
    </row>
    <row r="39" customFormat="false" ht="15" hidden="false" customHeight="false" outlineLevel="0" collapsed="false">
      <c r="A39" s="10" t="s">
        <v>67</v>
      </c>
      <c r="B39" s="3" t="s">
        <v>13</v>
      </c>
    </row>
    <row r="40" customFormat="false" ht="15" hidden="false" customHeight="false" outlineLevel="0" collapsed="false">
      <c r="A40" s="11" t="s">
        <v>68</v>
      </c>
      <c r="B40" s="3" t="s">
        <v>15</v>
      </c>
    </row>
    <row r="41" customFormat="false" ht="15" hidden="false" customHeight="false" outlineLevel="0" collapsed="false">
      <c r="A41" s="12" t="s">
        <v>69</v>
      </c>
      <c r="B41" s="3" t="s">
        <v>17</v>
      </c>
    </row>
    <row r="42" customFormat="false" ht="15" hidden="false" customHeight="false" outlineLevel="0" collapsed="false">
      <c r="A42" s="13" t="s">
        <v>70</v>
      </c>
      <c r="B42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8" min="7" style="0" width="40"/>
    <col collapsed="false" customWidth="true" hidden="false" outlineLevel="0" max="10" min="9" style="0" width="50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6" t="s">
        <v>78</v>
      </c>
    </row>
    <row r="3" customFormat="false" ht="42" hidden="false" customHeight="true" outlineLevel="0" collapsed="false">
      <c r="A3" s="14" t="s">
        <v>33</v>
      </c>
      <c r="B3" s="14" t="s">
        <v>79</v>
      </c>
      <c r="C3" s="14" t="s">
        <v>80</v>
      </c>
      <c r="D3" s="14" t="s">
        <v>81</v>
      </c>
      <c r="E3" s="14" t="s">
        <v>82</v>
      </c>
      <c r="F3" s="14" t="s">
        <v>83</v>
      </c>
      <c r="G3" s="14" t="s">
        <v>84</v>
      </c>
      <c r="H3" s="14" t="s">
        <v>24</v>
      </c>
      <c r="I3" s="14" t="s">
        <v>85</v>
      </c>
      <c r="J3" s="14" t="s">
        <v>86</v>
      </c>
      <c r="K3" s="14" t="s">
        <v>87</v>
      </c>
    </row>
    <row r="4" customFormat="false" ht="46.25" hidden="false" customHeight="false" outlineLevel="0" collapsed="false">
      <c r="A4" s="15" t="s">
        <v>37</v>
      </c>
      <c r="B4" s="15" t="s">
        <v>88</v>
      </c>
      <c r="C4" s="15" t="s">
        <v>89</v>
      </c>
      <c r="D4" s="15" t="s">
        <v>90</v>
      </c>
      <c r="E4" s="15" t="s">
        <v>91</v>
      </c>
      <c r="F4" s="16" t="s">
        <v>67</v>
      </c>
      <c r="G4" s="15" t="s">
        <v>92</v>
      </c>
      <c r="H4" s="15" t="s">
        <v>93</v>
      </c>
      <c r="I4" s="15" t="s">
        <v>94</v>
      </c>
      <c r="J4" s="15" t="s">
        <v>95</v>
      </c>
      <c r="K4" s="15"/>
    </row>
    <row r="5" customFormat="false" ht="46.25" hidden="false" customHeight="false" outlineLevel="0" collapsed="false">
      <c r="A5" s="15" t="s">
        <v>37</v>
      </c>
      <c r="B5" s="15" t="s">
        <v>96</v>
      </c>
      <c r="C5" s="15" t="s">
        <v>97</v>
      </c>
      <c r="D5" s="15" t="s">
        <v>98</v>
      </c>
      <c r="E5" s="15" t="s">
        <v>91</v>
      </c>
      <c r="F5" s="16" t="s">
        <v>67</v>
      </c>
      <c r="G5" s="15" t="s">
        <v>99</v>
      </c>
      <c r="H5" s="15" t="s">
        <v>100</v>
      </c>
      <c r="I5" s="15" t="s">
        <v>101</v>
      </c>
      <c r="J5" s="15" t="s">
        <v>95</v>
      </c>
      <c r="K5" s="15"/>
    </row>
    <row r="6" customFormat="false" ht="35.05" hidden="false" customHeight="false" outlineLevel="0" collapsed="false">
      <c r="A6" s="15" t="s">
        <v>37</v>
      </c>
      <c r="B6" s="15" t="s">
        <v>102</v>
      </c>
      <c r="C6" s="15" t="s">
        <v>103</v>
      </c>
      <c r="D6" s="15" t="s">
        <v>98</v>
      </c>
      <c r="E6" s="15" t="s">
        <v>91</v>
      </c>
      <c r="F6" s="17" t="s">
        <v>66</v>
      </c>
      <c r="G6" s="15" t="s">
        <v>104</v>
      </c>
      <c r="H6" s="15" t="s">
        <v>105</v>
      </c>
      <c r="I6" s="15" t="s">
        <v>106</v>
      </c>
      <c r="J6" s="15" t="s">
        <v>107</v>
      </c>
      <c r="K6" s="15" t="s">
        <v>108</v>
      </c>
    </row>
    <row r="7" customFormat="false" ht="23.85" hidden="false" customHeight="false" outlineLevel="0" collapsed="false">
      <c r="A7" s="15" t="s">
        <v>37</v>
      </c>
      <c r="B7" s="15" t="s">
        <v>109</v>
      </c>
      <c r="C7" s="15" t="s">
        <v>110</v>
      </c>
      <c r="D7" s="15" t="s">
        <v>111</v>
      </c>
      <c r="E7" s="15" t="s">
        <v>91</v>
      </c>
      <c r="F7" s="17" t="s">
        <v>66</v>
      </c>
      <c r="G7" s="15" t="s">
        <v>112</v>
      </c>
      <c r="H7" s="15" t="s">
        <v>113</v>
      </c>
      <c r="I7" s="15" t="s">
        <v>114</v>
      </c>
      <c r="J7" s="15" t="s">
        <v>107</v>
      </c>
      <c r="K7" s="15"/>
    </row>
    <row r="8" customFormat="false" ht="35.05" hidden="false" customHeight="false" outlineLevel="0" collapsed="false">
      <c r="A8" s="15" t="s">
        <v>37</v>
      </c>
      <c r="B8" s="15" t="s">
        <v>115</v>
      </c>
      <c r="C8" s="15" t="s">
        <v>116</v>
      </c>
      <c r="D8" s="15" t="s">
        <v>111</v>
      </c>
      <c r="E8" s="15" t="s">
        <v>91</v>
      </c>
      <c r="F8" s="17" t="s">
        <v>66</v>
      </c>
      <c r="G8" s="15" t="s">
        <v>117</v>
      </c>
      <c r="H8" s="15" t="s">
        <v>118</v>
      </c>
      <c r="I8" s="15" t="s">
        <v>119</v>
      </c>
      <c r="J8" s="15" t="s">
        <v>107</v>
      </c>
      <c r="K8" s="15"/>
    </row>
    <row r="9" customFormat="false" ht="35.05" hidden="false" customHeight="false" outlineLevel="0" collapsed="false">
      <c r="A9" s="15" t="s">
        <v>37</v>
      </c>
      <c r="B9" s="15" t="s">
        <v>120</v>
      </c>
      <c r="C9" s="15" t="s">
        <v>121</v>
      </c>
      <c r="D9" s="15" t="s">
        <v>111</v>
      </c>
      <c r="E9" s="15" t="s">
        <v>91</v>
      </c>
      <c r="F9" s="17" t="s">
        <v>66</v>
      </c>
      <c r="G9" s="15" t="s">
        <v>122</v>
      </c>
      <c r="H9" s="15" t="s">
        <v>123</v>
      </c>
      <c r="I9" s="15" t="s">
        <v>124</v>
      </c>
      <c r="J9" s="15" t="s">
        <v>107</v>
      </c>
      <c r="K9" s="15"/>
    </row>
    <row r="10" customFormat="false" ht="23.85" hidden="false" customHeight="false" outlineLevel="0" collapsed="false">
      <c r="A10" s="15" t="s">
        <v>37</v>
      </c>
      <c r="B10" s="15" t="s">
        <v>125</v>
      </c>
      <c r="C10" s="15" t="s">
        <v>126</v>
      </c>
      <c r="D10" s="15" t="s">
        <v>127</v>
      </c>
      <c r="E10" s="15" t="s">
        <v>91</v>
      </c>
      <c r="F10" s="17" t="s">
        <v>66</v>
      </c>
      <c r="G10" s="15" t="s">
        <v>128</v>
      </c>
      <c r="H10" s="15" t="s">
        <v>105</v>
      </c>
      <c r="I10" s="15" t="s">
        <v>129</v>
      </c>
      <c r="J10" s="15" t="s">
        <v>107</v>
      </c>
      <c r="K10" s="15"/>
    </row>
    <row r="11" customFormat="false" ht="35.05" hidden="false" customHeight="false" outlineLevel="0" collapsed="false">
      <c r="A11" s="15" t="s">
        <v>37</v>
      </c>
      <c r="B11" s="15" t="s">
        <v>130</v>
      </c>
      <c r="C11" s="15" t="s">
        <v>131</v>
      </c>
      <c r="D11" s="15" t="s">
        <v>127</v>
      </c>
      <c r="E11" s="15" t="s">
        <v>91</v>
      </c>
      <c r="F11" s="16" t="s">
        <v>67</v>
      </c>
      <c r="G11" s="15" t="s">
        <v>132</v>
      </c>
      <c r="H11" s="15" t="s">
        <v>105</v>
      </c>
      <c r="I11" s="15" t="s">
        <v>133</v>
      </c>
      <c r="J11" s="15" t="s">
        <v>134</v>
      </c>
      <c r="K11" s="15"/>
    </row>
    <row r="12" customFormat="false" ht="23.85" hidden="false" customHeight="false" outlineLevel="0" collapsed="false">
      <c r="A12" s="15" t="s">
        <v>37</v>
      </c>
      <c r="B12" s="15" t="s">
        <v>135</v>
      </c>
      <c r="C12" s="15" t="s">
        <v>136</v>
      </c>
      <c r="D12" s="15" t="s">
        <v>137</v>
      </c>
      <c r="E12" s="15" t="s">
        <v>91</v>
      </c>
      <c r="F12" s="17" t="s">
        <v>66</v>
      </c>
      <c r="G12" s="15" t="s">
        <v>138</v>
      </c>
      <c r="H12" s="15" t="s">
        <v>139</v>
      </c>
      <c r="I12" s="15" t="s">
        <v>140</v>
      </c>
      <c r="J12" s="15" t="s">
        <v>107</v>
      </c>
      <c r="K12" s="15"/>
    </row>
    <row r="13" customFormat="false" ht="46.25" hidden="false" customHeight="false" outlineLevel="0" collapsed="false">
      <c r="A13" s="15" t="s">
        <v>37</v>
      </c>
      <c r="B13" s="15" t="s">
        <v>141</v>
      </c>
      <c r="C13" s="15" t="s">
        <v>142</v>
      </c>
      <c r="D13" s="15" t="s">
        <v>90</v>
      </c>
      <c r="E13" s="15" t="s">
        <v>143</v>
      </c>
      <c r="F13" s="16" t="s">
        <v>67</v>
      </c>
      <c r="G13" s="15" t="s">
        <v>144</v>
      </c>
      <c r="H13" s="15" t="s">
        <v>145</v>
      </c>
      <c r="I13" s="15" t="s">
        <v>146</v>
      </c>
      <c r="J13" s="15" t="s">
        <v>147</v>
      </c>
      <c r="K13" s="15"/>
    </row>
    <row r="14" customFormat="false" ht="23.85" hidden="false" customHeight="false" outlineLevel="0" collapsed="false">
      <c r="A14" s="15" t="s">
        <v>37</v>
      </c>
      <c r="B14" s="15" t="s">
        <v>148</v>
      </c>
      <c r="C14" s="15" t="s">
        <v>149</v>
      </c>
      <c r="D14" s="15" t="s">
        <v>150</v>
      </c>
      <c r="E14" s="15" t="s">
        <v>143</v>
      </c>
      <c r="F14" s="17" t="s">
        <v>66</v>
      </c>
      <c r="G14" s="15" t="s">
        <v>151</v>
      </c>
      <c r="H14" s="15" t="s">
        <v>152</v>
      </c>
      <c r="I14" s="15" t="s">
        <v>153</v>
      </c>
      <c r="J14" s="15" t="s">
        <v>107</v>
      </c>
      <c r="K14" s="15" t="s">
        <v>154</v>
      </c>
    </row>
    <row r="15" customFormat="false" ht="46.25" hidden="false" customHeight="false" outlineLevel="0" collapsed="false">
      <c r="A15" s="15" t="s">
        <v>37</v>
      </c>
      <c r="B15" s="15" t="s">
        <v>155</v>
      </c>
      <c r="C15" s="15" t="s">
        <v>156</v>
      </c>
      <c r="D15" s="15" t="s">
        <v>157</v>
      </c>
      <c r="E15" s="15" t="s">
        <v>143</v>
      </c>
      <c r="F15" s="16" t="s">
        <v>67</v>
      </c>
      <c r="G15" s="15" t="s">
        <v>158</v>
      </c>
      <c r="H15" s="15" t="s">
        <v>105</v>
      </c>
      <c r="I15" s="15" t="s">
        <v>159</v>
      </c>
      <c r="J15" s="15" t="s">
        <v>160</v>
      </c>
      <c r="K15" s="15" t="s">
        <v>161</v>
      </c>
    </row>
    <row r="16" customFormat="false" ht="35.05" hidden="false" customHeight="false" outlineLevel="0" collapsed="false">
      <c r="A16" s="15" t="s">
        <v>37</v>
      </c>
      <c r="B16" s="15" t="s">
        <v>162</v>
      </c>
      <c r="C16" s="15" t="s">
        <v>163</v>
      </c>
      <c r="D16" s="15" t="s">
        <v>164</v>
      </c>
      <c r="E16" s="15" t="s">
        <v>143</v>
      </c>
      <c r="F16" s="17" t="s">
        <v>66</v>
      </c>
      <c r="G16" s="15" t="s">
        <v>165</v>
      </c>
      <c r="H16" s="15" t="s">
        <v>105</v>
      </c>
      <c r="I16" s="15" t="s">
        <v>166</v>
      </c>
      <c r="J16" s="15" t="s">
        <v>107</v>
      </c>
      <c r="K16" s="15"/>
    </row>
    <row r="17" customFormat="false" ht="35.05" hidden="false" customHeight="false" outlineLevel="0" collapsed="false">
      <c r="A17" s="15" t="s">
        <v>37</v>
      </c>
      <c r="B17" s="15" t="s">
        <v>167</v>
      </c>
      <c r="C17" s="15" t="s">
        <v>168</v>
      </c>
      <c r="D17" s="15" t="s">
        <v>164</v>
      </c>
      <c r="E17" s="15" t="s">
        <v>143</v>
      </c>
      <c r="F17" s="16" t="s">
        <v>67</v>
      </c>
      <c r="G17" s="15" t="s">
        <v>169</v>
      </c>
      <c r="H17" s="15" t="s">
        <v>105</v>
      </c>
      <c r="I17" s="15" t="s">
        <v>170</v>
      </c>
      <c r="J17" s="15" t="s">
        <v>171</v>
      </c>
      <c r="K17" s="15" t="s">
        <v>172</v>
      </c>
    </row>
    <row r="18" customFormat="false" ht="23.85" hidden="false" customHeight="false" outlineLevel="0" collapsed="false">
      <c r="A18" s="15" t="s">
        <v>37</v>
      </c>
      <c r="B18" s="15" t="s">
        <v>173</v>
      </c>
      <c r="C18" s="15" t="s">
        <v>174</v>
      </c>
      <c r="D18" s="15" t="s">
        <v>175</v>
      </c>
      <c r="E18" s="15" t="s">
        <v>143</v>
      </c>
      <c r="F18" s="17" t="s">
        <v>66</v>
      </c>
      <c r="G18" s="15" t="s">
        <v>176</v>
      </c>
      <c r="H18" s="15" t="s">
        <v>105</v>
      </c>
      <c r="I18" s="15" t="s">
        <v>177</v>
      </c>
      <c r="J18" s="15" t="s">
        <v>107</v>
      </c>
      <c r="K18" s="15"/>
    </row>
    <row r="19" customFormat="false" ht="23.85" hidden="false" customHeight="false" outlineLevel="0" collapsed="false">
      <c r="A19" s="15" t="s">
        <v>37</v>
      </c>
      <c r="B19" s="15" t="s">
        <v>178</v>
      </c>
      <c r="C19" s="15" t="s">
        <v>179</v>
      </c>
      <c r="D19" s="15" t="s">
        <v>175</v>
      </c>
      <c r="E19" s="15" t="s">
        <v>143</v>
      </c>
      <c r="F19" s="17" t="s">
        <v>66</v>
      </c>
      <c r="G19" s="15" t="s">
        <v>180</v>
      </c>
      <c r="H19" s="15" t="s">
        <v>105</v>
      </c>
      <c r="I19" s="15" t="s">
        <v>181</v>
      </c>
      <c r="J19" s="15" t="s">
        <v>107</v>
      </c>
      <c r="K19" s="15"/>
    </row>
    <row r="20" customFormat="false" ht="46.25" hidden="false" customHeight="false" outlineLevel="0" collapsed="false">
      <c r="A20" s="15" t="s">
        <v>37</v>
      </c>
      <c r="B20" s="15" t="s">
        <v>182</v>
      </c>
      <c r="C20" s="15" t="s">
        <v>183</v>
      </c>
      <c r="D20" s="15" t="s">
        <v>184</v>
      </c>
      <c r="E20" s="15" t="s">
        <v>143</v>
      </c>
      <c r="F20" s="16" t="s">
        <v>67</v>
      </c>
      <c r="G20" s="15" t="s">
        <v>185</v>
      </c>
      <c r="H20" s="15" t="s">
        <v>105</v>
      </c>
      <c r="I20" s="15" t="s">
        <v>186</v>
      </c>
      <c r="J20" s="15" t="s">
        <v>187</v>
      </c>
      <c r="K20" s="15" t="s">
        <v>188</v>
      </c>
    </row>
    <row r="21" customFormat="false" ht="23.85" hidden="false" customHeight="false" outlineLevel="0" collapsed="false">
      <c r="A21" s="15" t="s">
        <v>37</v>
      </c>
      <c r="B21" s="15" t="s">
        <v>189</v>
      </c>
      <c r="C21" s="15" t="s">
        <v>190</v>
      </c>
      <c r="D21" s="15" t="s">
        <v>191</v>
      </c>
      <c r="E21" s="15" t="s">
        <v>192</v>
      </c>
      <c r="F21" s="17" t="s">
        <v>66</v>
      </c>
      <c r="G21" s="15" t="s">
        <v>193</v>
      </c>
      <c r="H21" s="15" t="s">
        <v>105</v>
      </c>
      <c r="I21" s="15" t="s">
        <v>194</v>
      </c>
      <c r="J21" s="15" t="s">
        <v>107</v>
      </c>
      <c r="K21" s="15"/>
    </row>
    <row r="22" customFormat="false" ht="23.85" hidden="false" customHeight="false" outlineLevel="0" collapsed="false">
      <c r="A22" s="15" t="s">
        <v>37</v>
      </c>
      <c r="B22" s="15" t="s">
        <v>195</v>
      </c>
      <c r="C22" s="15" t="s">
        <v>196</v>
      </c>
      <c r="D22" s="15" t="s">
        <v>191</v>
      </c>
      <c r="E22" s="15" t="s">
        <v>192</v>
      </c>
      <c r="F22" s="17" t="s">
        <v>66</v>
      </c>
      <c r="G22" s="15" t="s">
        <v>197</v>
      </c>
      <c r="H22" s="15" t="s">
        <v>105</v>
      </c>
      <c r="I22" s="15" t="s">
        <v>198</v>
      </c>
      <c r="J22" s="15" t="s">
        <v>107</v>
      </c>
      <c r="K22" s="15"/>
    </row>
    <row r="23" customFormat="false" ht="23.85" hidden="false" customHeight="false" outlineLevel="0" collapsed="false">
      <c r="A23" s="15" t="s">
        <v>37</v>
      </c>
      <c r="B23" s="15" t="s">
        <v>199</v>
      </c>
      <c r="C23" s="15" t="s">
        <v>200</v>
      </c>
      <c r="D23" s="15" t="s">
        <v>191</v>
      </c>
      <c r="E23" s="15" t="s">
        <v>192</v>
      </c>
      <c r="F23" s="17" t="s">
        <v>66</v>
      </c>
      <c r="G23" s="15" t="s">
        <v>201</v>
      </c>
      <c r="H23" s="15" t="s">
        <v>105</v>
      </c>
      <c r="I23" s="15" t="s">
        <v>202</v>
      </c>
      <c r="J23" s="15" t="s">
        <v>107</v>
      </c>
      <c r="K23" s="15"/>
    </row>
    <row r="24" customFormat="false" ht="35.05" hidden="false" customHeight="false" outlineLevel="0" collapsed="false">
      <c r="A24" s="15" t="s">
        <v>37</v>
      </c>
      <c r="B24" s="15" t="s">
        <v>203</v>
      </c>
      <c r="C24" s="15" t="s">
        <v>204</v>
      </c>
      <c r="D24" s="15" t="s">
        <v>191</v>
      </c>
      <c r="E24" s="15" t="s">
        <v>192</v>
      </c>
      <c r="F24" s="16" t="s">
        <v>67</v>
      </c>
      <c r="G24" s="15" t="s">
        <v>205</v>
      </c>
      <c r="H24" s="15" t="s">
        <v>105</v>
      </c>
      <c r="I24" s="15" t="s">
        <v>206</v>
      </c>
      <c r="J24" s="15" t="s">
        <v>207</v>
      </c>
      <c r="K24" s="15"/>
    </row>
    <row r="25" customFormat="false" ht="35.05" hidden="false" customHeight="false" outlineLevel="0" collapsed="false">
      <c r="A25" s="15" t="s">
        <v>37</v>
      </c>
      <c r="B25" s="15" t="s">
        <v>208</v>
      </c>
      <c r="C25" s="15" t="s">
        <v>209</v>
      </c>
      <c r="D25" s="15" t="s">
        <v>191</v>
      </c>
      <c r="E25" s="15" t="s">
        <v>192</v>
      </c>
      <c r="F25" s="17" t="s">
        <v>66</v>
      </c>
      <c r="G25" s="15" t="s">
        <v>210</v>
      </c>
      <c r="H25" s="15" t="s">
        <v>105</v>
      </c>
      <c r="I25" s="15" t="s">
        <v>211</v>
      </c>
      <c r="J25" s="15" t="s">
        <v>107</v>
      </c>
      <c r="K25" s="15"/>
    </row>
    <row r="26" customFormat="false" ht="23.85" hidden="false" customHeight="false" outlineLevel="0" collapsed="false">
      <c r="A26" s="15" t="s">
        <v>53</v>
      </c>
      <c r="B26" s="15" t="s">
        <v>212</v>
      </c>
      <c r="C26" s="15" t="s">
        <v>213</v>
      </c>
      <c r="D26" s="15" t="s">
        <v>214</v>
      </c>
      <c r="E26" s="15" t="s">
        <v>215</v>
      </c>
      <c r="F26" s="17" t="s">
        <v>66</v>
      </c>
      <c r="G26" s="15" t="s">
        <v>216</v>
      </c>
      <c r="H26" s="15" t="s">
        <v>105</v>
      </c>
      <c r="I26" s="15" t="s">
        <v>217</v>
      </c>
      <c r="J26" s="15" t="s">
        <v>107</v>
      </c>
      <c r="K26" s="15"/>
    </row>
    <row r="27" customFormat="false" ht="23.85" hidden="false" customHeight="false" outlineLevel="0" collapsed="false">
      <c r="A27" s="15" t="s">
        <v>53</v>
      </c>
      <c r="B27" s="15" t="s">
        <v>218</v>
      </c>
      <c r="C27" s="15" t="s">
        <v>219</v>
      </c>
      <c r="D27" s="15" t="s">
        <v>220</v>
      </c>
      <c r="E27" s="15" t="s">
        <v>215</v>
      </c>
      <c r="F27" s="17" t="s">
        <v>66</v>
      </c>
      <c r="G27" s="15" t="s">
        <v>221</v>
      </c>
      <c r="H27" s="15" t="s">
        <v>105</v>
      </c>
      <c r="I27" s="15" t="s">
        <v>222</v>
      </c>
      <c r="J27" s="15" t="s">
        <v>107</v>
      </c>
      <c r="K27" s="15"/>
    </row>
    <row r="28" customFormat="false" ht="23.85" hidden="false" customHeight="false" outlineLevel="0" collapsed="false">
      <c r="A28" s="15" t="s">
        <v>57</v>
      </c>
      <c r="B28" s="15" t="s">
        <v>223</v>
      </c>
      <c r="C28" s="15" t="s">
        <v>224</v>
      </c>
      <c r="D28" s="15" t="s">
        <v>225</v>
      </c>
      <c r="E28" s="15" t="s">
        <v>215</v>
      </c>
      <c r="F28" s="17" t="s">
        <v>66</v>
      </c>
      <c r="G28" s="15" t="s">
        <v>226</v>
      </c>
      <c r="H28" s="15" t="s">
        <v>105</v>
      </c>
      <c r="I28" s="15" t="s">
        <v>227</v>
      </c>
      <c r="J28" s="15" t="s">
        <v>107</v>
      </c>
      <c r="K28" s="15"/>
    </row>
    <row r="29" customFormat="false" ht="35.05" hidden="false" customHeight="false" outlineLevel="0" collapsed="false">
      <c r="A29" s="15" t="s">
        <v>57</v>
      </c>
      <c r="B29" s="15" t="s">
        <v>228</v>
      </c>
      <c r="C29" s="15" t="s">
        <v>229</v>
      </c>
      <c r="D29" s="15" t="s">
        <v>225</v>
      </c>
      <c r="E29" s="15" t="s">
        <v>215</v>
      </c>
      <c r="F29" s="16" t="s">
        <v>67</v>
      </c>
      <c r="G29" s="15" t="s">
        <v>230</v>
      </c>
      <c r="H29" s="15" t="s">
        <v>105</v>
      </c>
      <c r="I29" s="15" t="s">
        <v>231</v>
      </c>
      <c r="J29" s="15" t="s">
        <v>232</v>
      </c>
      <c r="K29" s="15"/>
    </row>
    <row r="30" customFormat="false" ht="23.85" hidden="false" customHeight="false" outlineLevel="0" collapsed="false">
      <c r="A30" s="15" t="s">
        <v>61</v>
      </c>
      <c r="B30" s="15" t="s">
        <v>233</v>
      </c>
      <c r="C30" s="15" t="s">
        <v>234</v>
      </c>
      <c r="D30" s="15" t="s">
        <v>235</v>
      </c>
      <c r="E30" s="15" t="s">
        <v>215</v>
      </c>
      <c r="F30" s="17" t="s">
        <v>66</v>
      </c>
      <c r="G30" s="15" t="s">
        <v>236</v>
      </c>
      <c r="H30" s="15" t="s">
        <v>105</v>
      </c>
      <c r="I30" s="15" t="s">
        <v>237</v>
      </c>
      <c r="J30" s="15" t="s">
        <v>107</v>
      </c>
      <c r="K30" s="15"/>
    </row>
    <row r="31" customFormat="false" ht="23.85" hidden="false" customHeight="false" outlineLevel="0" collapsed="false">
      <c r="A31" s="15" t="s">
        <v>61</v>
      </c>
      <c r="B31" s="15" t="s">
        <v>238</v>
      </c>
      <c r="C31" s="15" t="s">
        <v>239</v>
      </c>
      <c r="D31" s="15" t="s">
        <v>240</v>
      </c>
      <c r="E31" s="15" t="s">
        <v>215</v>
      </c>
      <c r="F31" s="17" t="s">
        <v>66</v>
      </c>
      <c r="G31" s="15" t="s">
        <v>241</v>
      </c>
      <c r="H31" s="15" t="s">
        <v>105</v>
      </c>
      <c r="I31" s="15" t="s">
        <v>242</v>
      </c>
      <c r="J31" s="15" t="s">
        <v>107</v>
      </c>
      <c r="K31" s="15"/>
    </row>
    <row r="32" customFormat="false" ht="23.85" hidden="false" customHeight="false" outlineLevel="0" collapsed="false">
      <c r="A32" s="15" t="s">
        <v>61</v>
      </c>
      <c r="B32" s="15" t="s">
        <v>243</v>
      </c>
      <c r="C32" s="15" t="s">
        <v>244</v>
      </c>
      <c r="D32" s="15" t="s">
        <v>235</v>
      </c>
      <c r="E32" s="15" t="s">
        <v>215</v>
      </c>
      <c r="F32" s="17" t="s">
        <v>66</v>
      </c>
      <c r="G32" s="15" t="s">
        <v>245</v>
      </c>
      <c r="H32" s="15" t="s">
        <v>105</v>
      </c>
      <c r="I32" s="15" t="s">
        <v>246</v>
      </c>
      <c r="J32" s="15" t="s">
        <v>107</v>
      </c>
      <c r="K32" s="15"/>
    </row>
    <row r="33" customFormat="false" ht="23.85" hidden="false" customHeight="false" outlineLevel="0" collapsed="false">
      <c r="A33" s="15" t="s">
        <v>37</v>
      </c>
      <c r="B33" s="15" t="s">
        <v>247</v>
      </c>
      <c r="C33" s="15" t="s">
        <v>248</v>
      </c>
      <c r="D33" s="15" t="s">
        <v>249</v>
      </c>
      <c r="E33" s="15" t="s">
        <v>250</v>
      </c>
      <c r="F33" s="17" t="s">
        <v>66</v>
      </c>
      <c r="G33" s="15" t="s">
        <v>251</v>
      </c>
      <c r="H33" s="15" t="s">
        <v>252</v>
      </c>
      <c r="I33" s="15" t="s">
        <v>253</v>
      </c>
      <c r="J33" s="15" t="s">
        <v>107</v>
      </c>
      <c r="K33" s="15"/>
    </row>
    <row r="34" customFormat="false" ht="35.05" hidden="false" customHeight="false" outlineLevel="0" collapsed="false">
      <c r="A34" s="15" t="s">
        <v>37</v>
      </c>
      <c r="B34" s="15" t="s">
        <v>254</v>
      </c>
      <c r="C34" s="15" t="s">
        <v>255</v>
      </c>
      <c r="D34" s="15" t="s">
        <v>256</v>
      </c>
      <c r="E34" s="15" t="s">
        <v>250</v>
      </c>
      <c r="F34" s="17" t="s">
        <v>66</v>
      </c>
      <c r="G34" s="15" t="s">
        <v>257</v>
      </c>
      <c r="H34" s="15" t="s">
        <v>258</v>
      </c>
      <c r="I34" s="15" t="s">
        <v>259</v>
      </c>
      <c r="J34" s="15" t="s">
        <v>107</v>
      </c>
      <c r="K34" s="15" t="s">
        <v>260</v>
      </c>
    </row>
    <row r="35" customFormat="false" ht="35.05" hidden="false" customHeight="false" outlineLevel="0" collapsed="false">
      <c r="A35" s="15" t="s">
        <v>37</v>
      </c>
      <c r="B35" s="15" t="s">
        <v>261</v>
      </c>
      <c r="C35" s="15" t="s">
        <v>262</v>
      </c>
      <c r="D35" s="15" t="s">
        <v>263</v>
      </c>
      <c r="E35" s="15" t="s">
        <v>250</v>
      </c>
      <c r="F35" s="17" t="s">
        <v>66</v>
      </c>
      <c r="G35" s="15" t="s">
        <v>264</v>
      </c>
      <c r="H35" s="15" t="s">
        <v>105</v>
      </c>
      <c r="I35" s="15" t="s">
        <v>265</v>
      </c>
      <c r="J35" s="15" t="s">
        <v>107</v>
      </c>
      <c r="K35" s="15"/>
    </row>
    <row r="36" customFormat="false" ht="23.85" hidden="false" customHeight="false" outlineLevel="0" collapsed="false">
      <c r="A36" s="15" t="s">
        <v>37</v>
      </c>
      <c r="B36" s="15" t="s">
        <v>266</v>
      </c>
      <c r="C36" s="15" t="s">
        <v>267</v>
      </c>
      <c r="D36" s="15" t="s">
        <v>263</v>
      </c>
      <c r="E36" s="15" t="s">
        <v>250</v>
      </c>
      <c r="F36" s="17" t="s">
        <v>66</v>
      </c>
      <c r="G36" s="15" t="s">
        <v>268</v>
      </c>
      <c r="H36" s="15" t="s">
        <v>105</v>
      </c>
      <c r="I36" s="15" t="s">
        <v>269</v>
      </c>
      <c r="J36" s="15" t="s">
        <v>107</v>
      </c>
      <c r="K36" s="15"/>
    </row>
    <row r="37" customFormat="false" ht="35.05" hidden="false" customHeight="false" outlineLevel="0" collapsed="false">
      <c r="A37" s="15" t="s">
        <v>37</v>
      </c>
      <c r="B37" s="15" t="s">
        <v>270</v>
      </c>
      <c r="C37" s="15" t="s">
        <v>271</v>
      </c>
      <c r="D37" s="15" t="s">
        <v>272</v>
      </c>
      <c r="E37" s="15" t="s">
        <v>273</v>
      </c>
      <c r="F37" s="17" t="s">
        <v>66</v>
      </c>
      <c r="G37" s="15" t="s">
        <v>274</v>
      </c>
      <c r="H37" s="15" t="s">
        <v>105</v>
      </c>
      <c r="I37" s="15" t="s">
        <v>275</v>
      </c>
      <c r="J37" s="15" t="s">
        <v>107</v>
      </c>
      <c r="K37" s="15" t="s">
        <v>276</v>
      </c>
    </row>
    <row r="38" customFormat="false" ht="35.05" hidden="false" customHeight="false" outlineLevel="0" collapsed="false">
      <c r="A38" s="15" t="s">
        <v>37</v>
      </c>
      <c r="B38" s="15" t="s">
        <v>277</v>
      </c>
      <c r="C38" s="15" t="s">
        <v>278</v>
      </c>
      <c r="D38" s="15" t="s">
        <v>272</v>
      </c>
      <c r="E38" s="15" t="s">
        <v>273</v>
      </c>
      <c r="F38" s="17" t="s">
        <v>66</v>
      </c>
      <c r="G38" s="15" t="s">
        <v>279</v>
      </c>
      <c r="H38" s="15" t="s">
        <v>105</v>
      </c>
      <c r="I38" s="15" t="s">
        <v>280</v>
      </c>
      <c r="J38" s="15" t="s">
        <v>107</v>
      </c>
      <c r="K38" s="15"/>
    </row>
    <row r="39" customFormat="false" ht="35.05" hidden="false" customHeight="false" outlineLevel="0" collapsed="false">
      <c r="A39" s="15" t="s">
        <v>37</v>
      </c>
      <c r="B39" s="15" t="s">
        <v>281</v>
      </c>
      <c r="C39" s="15" t="s">
        <v>282</v>
      </c>
      <c r="D39" s="15" t="s">
        <v>137</v>
      </c>
      <c r="E39" s="15" t="s">
        <v>273</v>
      </c>
      <c r="F39" s="17" t="s">
        <v>66</v>
      </c>
      <c r="G39" s="15" t="s">
        <v>283</v>
      </c>
      <c r="H39" s="15" t="s">
        <v>105</v>
      </c>
      <c r="I39" s="15" t="s">
        <v>284</v>
      </c>
      <c r="J39" s="15" t="s">
        <v>107</v>
      </c>
      <c r="K39" s="15"/>
    </row>
    <row r="40" customFormat="false" ht="23.85" hidden="false" customHeight="false" outlineLevel="0" collapsed="false">
      <c r="A40" s="15" t="s">
        <v>41</v>
      </c>
      <c r="B40" s="15" t="s">
        <v>285</v>
      </c>
      <c r="C40" s="15" t="s">
        <v>286</v>
      </c>
      <c r="D40" s="15" t="s">
        <v>287</v>
      </c>
      <c r="E40" s="15" t="s">
        <v>288</v>
      </c>
      <c r="F40" s="17" t="s">
        <v>66</v>
      </c>
      <c r="G40" s="15" t="s">
        <v>289</v>
      </c>
      <c r="H40" s="15" t="s">
        <v>105</v>
      </c>
      <c r="I40" s="15" t="s">
        <v>290</v>
      </c>
      <c r="J40" s="15" t="s">
        <v>107</v>
      </c>
      <c r="K40" s="15"/>
    </row>
    <row r="41" customFormat="false" ht="35.05" hidden="false" customHeight="false" outlineLevel="0" collapsed="false">
      <c r="A41" s="15" t="s">
        <v>41</v>
      </c>
      <c r="B41" s="15" t="s">
        <v>291</v>
      </c>
      <c r="C41" s="15" t="s">
        <v>292</v>
      </c>
      <c r="D41" s="15" t="s">
        <v>293</v>
      </c>
      <c r="E41" s="15" t="s">
        <v>288</v>
      </c>
      <c r="F41" s="17" t="s">
        <v>66</v>
      </c>
      <c r="G41" s="15" t="s">
        <v>294</v>
      </c>
      <c r="H41" s="15" t="s">
        <v>105</v>
      </c>
      <c r="I41" s="15" t="s">
        <v>295</v>
      </c>
      <c r="J41" s="15" t="s">
        <v>107</v>
      </c>
      <c r="K41" s="15"/>
    </row>
    <row r="42" customFormat="false" ht="23.85" hidden="false" customHeight="false" outlineLevel="0" collapsed="false">
      <c r="A42" s="15" t="s">
        <v>45</v>
      </c>
      <c r="B42" s="15" t="s">
        <v>296</v>
      </c>
      <c r="C42" s="15" t="s">
        <v>297</v>
      </c>
      <c r="D42" s="15" t="s">
        <v>298</v>
      </c>
      <c r="E42" s="15" t="s">
        <v>299</v>
      </c>
      <c r="F42" s="17" t="s">
        <v>66</v>
      </c>
      <c r="G42" s="15" t="s">
        <v>300</v>
      </c>
      <c r="H42" s="15" t="s">
        <v>105</v>
      </c>
      <c r="I42" s="15" t="s">
        <v>301</v>
      </c>
      <c r="J42" s="15" t="s">
        <v>107</v>
      </c>
      <c r="K42" s="15" t="s">
        <v>302</v>
      </c>
    </row>
    <row r="43" customFormat="false" ht="35.05" hidden="false" customHeight="false" outlineLevel="0" collapsed="false">
      <c r="A43" s="15" t="s">
        <v>45</v>
      </c>
      <c r="B43" s="15" t="s">
        <v>303</v>
      </c>
      <c r="C43" s="15" t="s">
        <v>304</v>
      </c>
      <c r="D43" s="15" t="s">
        <v>305</v>
      </c>
      <c r="E43" s="15" t="s">
        <v>299</v>
      </c>
      <c r="F43" s="16" t="s">
        <v>67</v>
      </c>
      <c r="G43" s="15" t="s">
        <v>306</v>
      </c>
      <c r="H43" s="15" t="s">
        <v>105</v>
      </c>
      <c r="I43" s="15" t="s">
        <v>307</v>
      </c>
      <c r="J43" s="15" t="s">
        <v>134</v>
      </c>
      <c r="K43" s="15" t="s">
        <v>308</v>
      </c>
    </row>
    <row r="44" customFormat="false" ht="35.05" hidden="false" customHeight="false" outlineLevel="0" collapsed="false">
      <c r="A44" s="15" t="s">
        <v>45</v>
      </c>
      <c r="B44" s="15" t="s">
        <v>309</v>
      </c>
      <c r="C44" s="15" t="s">
        <v>310</v>
      </c>
      <c r="D44" s="15" t="s">
        <v>311</v>
      </c>
      <c r="E44" s="15" t="s">
        <v>299</v>
      </c>
      <c r="F44" s="16" t="s">
        <v>67</v>
      </c>
      <c r="G44" s="15" t="s">
        <v>312</v>
      </c>
      <c r="H44" s="15" t="s">
        <v>105</v>
      </c>
      <c r="I44" s="15" t="s">
        <v>313</v>
      </c>
      <c r="J44" s="15" t="s">
        <v>314</v>
      </c>
      <c r="K44" s="15" t="s">
        <v>315</v>
      </c>
    </row>
    <row r="45" customFormat="false" ht="35.05" hidden="false" customHeight="false" outlineLevel="0" collapsed="false">
      <c r="A45" s="15" t="s">
        <v>49</v>
      </c>
      <c r="B45" s="15" t="s">
        <v>316</v>
      </c>
      <c r="C45" s="15" t="s">
        <v>317</v>
      </c>
      <c r="D45" s="15" t="s">
        <v>318</v>
      </c>
      <c r="E45" s="15" t="s">
        <v>319</v>
      </c>
      <c r="F45" s="17" t="s">
        <v>66</v>
      </c>
      <c r="G45" s="15" t="s">
        <v>320</v>
      </c>
      <c r="H45" s="15" t="s">
        <v>321</v>
      </c>
      <c r="I45" s="15" t="s">
        <v>322</v>
      </c>
      <c r="J45" s="15" t="s">
        <v>107</v>
      </c>
      <c r="K45" s="15"/>
    </row>
    <row r="46" customFormat="false" ht="23.85" hidden="false" customHeight="false" outlineLevel="0" collapsed="false">
      <c r="A46" s="15" t="s">
        <v>49</v>
      </c>
      <c r="B46" s="15" t="s">
        <v>323</v>
      </c>
      <c r="C46" s="15" t="s">
        <v>324</v>
      </c>
      <c r="D46" s="15" t="s">
        <v>325</v>
      </c>
      <c r="E46" s="15" t="s">
        <v>319</v>
      </c>
      <c r="F46" s="17" t="s">
        <v>66</v>
      </c>
      <c r="G46" s="15" t="s">
        <v>326</v>
      </c>
      <c r="H46" s="15" t="s">
        <v>105</v>
      </c>
      <c r="I46" s="15" t="s">
        <v>327</v>
      </c>
      <c r="J46" s="15" t="s">
        <v>107</v>
      </c>
      <c r="K46" s="15"/>
    </row>
    <row r="47" customFormat="false" ht="35.05" hidden="false" customHeight="false" outlineLevel="0" collapsed="false">
      <c r="A47" s="15" t="s">
        <v>49</v>
      </c>
      <c r="B47" s="15" t="s">
        <v>328</v>
      </c>
      <c r="C47" s="15" t="s">
        <v>329</v>
      </c>
      <c r="D47" s="15" t="s">
        <v>330</v>
      </c>
      <c r="E47" s="15" t="s">
        <v>319</v>
      </c>
      <c r="F47" s="16" t="s">
        <v>67</v>
      </c>
      <c r="G47" s="15" t="s">
        <v>331</v>
      </c>
      <c r="H47" s="15" t="s">
        <v>105</v>
      </c>
      <c r="I47" s="15" t="s">
        <v>332</v>
      </c>
      <c r="J47" s="15" t="s">
        <v>314</v>
      </c>
      <c r="K47" s="15" t="s">
        <v>333</v>
      </c>
    </row>
    <row r="48" customFormat="false" ht="35.05" hidden="false" customHeight="false" outlineLevel="0" collapsed="false">
      <c r="A48" s="15" t="s">
        <v>49</v>
      </c>
      <c r="B48" s="15" t="s">
        <v>334</v>
      </c>
      <c r="C48" s="15" t="s">
        <v>335</v>
      </c>
      <c r="D48" s="15" t="s">
        <v>336</v>
      </c>
      <c r="E48" s="15" t="s">
        <v>319</v>
      </c>
      <c r="F48" s="16" t="s">
        <v>67</v>
      </c>
      <c r="G48" s="15" t="s">
        <v>337</v>
      </c>
      <c r="H48" s="15" t="s">
        <v>105</v>
      </c>
      <c r="I48" s="15" t="s">
        <v>338</v>
      </c>
      <c r="J48" s="15" t="s">
        <v>232</v>
      </c>
      <c r="K48" s="15"/>
    </row>
  </sheetData>
  <autoFilter ref="A3:K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9" min="7" style="0" width="34"/>
    <col collapsed="false" customWidth="true" hidden="false" outlineLevel="0" max="10" min="10" style="0" width="30"/>
    <col collapsed="false" customWidth="true" hidden="false" outlineLevel="0" max="11" min="11" style="0" width="26"/>
    <col collapsed="false" customWidth="true" hidden="false" outlineLevel="0" max="12" min="12" style="0" width="9"/>
    <col collapsed="false" customWidth="true" hidden="false" outlineLevel="0" max="14" min="13" style="0" width="46"/>
    <col collapsed="false" customWidth="true" hidden="false" outlineLevel="0" max="15" min="15" style="0" width="32"/>
    <col collapsed="false" customWidth="true" hidden="false" outlineLevel="0" max="16" min="16" style="0" width="40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6" t="s">
        <v>339</v>
      </c>
    </row>
    <row r="3" customFormat="false" ht="42" hidden="false" customHeight="true" outlineLevel="0" collapsed="false">
      <c r="A3" s="14" t="s">
        <v>79</v>
      </c>
      <c r="B3" s="14" t="s">
        <v>80</v>
      </c>
      <c r="C3" s="14" t="s">
        <v>81</v>
      </c>
      <c r="D3" s="14" t="s">
        <v>7</v>
      </c>
      <c r="E3" s="14" t="s">
        <v>340</v>
      </c>
      <c r="F3" s="14" t="s">
        <v>341</v>
      </c>
      <c r="G3" s="14" t="s">
        <v>342</v>
      </c>
      <c r="H3" s="14" t="s">
        <v>343</v>
      </c>
      <c r="I3" s="14" t="s">
        <v>344</v>
      </c>
      <c r="J3" s="14" t="s">
        <v>345</v>
      </c>
      <c r="K3" s="14" t="s">
        <v>346</v>
      </c>
      <c r="L3" s="14" t="s">
        <v>347</v>
      </c>
      <c r="M3" s="14" t="s">
        <v>85</v>
      </c>
      <c r="N3" s="14" t="s">
        <v>348</v>
      </c>
      <c r="O3" s="14" t="s">
        <v>349</v>
      </c>
      <c r="P3" s="14" t="s">
        <v>350</v>
      </c>
      <c r="Q3" s="14" t="s">
        <v>351</v>
      </c>
    </row>
    <row r="4" customFormat="false" ht="35.05" hidden="false" customHeight="false" outlineLevel="0" collapsed="false">
      <c r="A4" s="15" t="s">
        <v>352</v>
      </c>
      <c r="B4" s="15" t="s">
        <v>353</v>
      </c>
      <c r="C4" s="15" t="s">
        <v>90</v>
      </c>
      <c r="D4" s="16" t="s">
        <v>73</v>
      </c>
      <c r="E4" s="15" t="s">
        <v>91</v>
      </c>
      <c r="F4" s="15" t="s">
        <v>354</v>
      </c>
      <c r="G4" s="15" t="s">
        <v>355</v>
      </c>
      <c r="H4" s="15" t="s">
        <v>356</v>
      </c>
      <c r="I4" s="15" t="s">
        <v>357</v>
      </c>
      <c r="J4" s="15" t="s">
        <v>358</v>
      </c>
      <c r="K4" s="15" t="s">
        <v>358</v>
      </c>
      <c r="L4" s="18" t="s">
        <v>67</v>
      </c>
      <c r="M4" s="15" t="s">
        <v>359</v>
      </c>
      <c r="N4" s="15" t="s">
        <v>360</v>
      </c>
      <c r="O4" s="15" t="s">
        <v>361</v>
      </c>
      <c r="P4" s="15" t="s">
        <v>362</v>
      </c>
      <c r="Q4" s="15" t="s">
        <v>363</v>
      </c>
    </row>
    <row r="5" customFormat="false" ht="46.25" hidden="false" customHeight="false" outlineLevel="0" collapsed="false">
      <c r="A5" s="15" t="s">
        <v>352</v>
      </c>
      <c r="B5" s="15" t="s">
        <v>353</v>
      </c>
      <c r="C5" s="15" t="s">
        <v>90</v>
      </c>
      <c r="D5" s="19" t="s">
        <v>74</v>
      </c>
      <c r="E5" s="15" t="s">
        <v>192</v>
      </c>
      <c r="F5" s="15" t="s">
        <v>364</v>
      </c>
      <c r="G5" s="15" t="s">
        <v>365</v>
      </c>
      <c r="H5" s="15" t="s">
        <v>366</v>
      </c>
      <c r="I5" s="15" t="s">
        <v>367</v>
      </c>
      <c r="J5" s="15" t="s">
        <v>358</v>
      </c>
      <c r="K5" s="15" t="s">
        <v>358</v>
      </c>
      <c r="L5" s="18" t="s">
        <v>67</v>
      </c>
      <c r="M5" s="15" t="s">
        <v>368</v>
      </c>
      <c r="N5" s="15" t="s">
        <v>369</v>
      </c>
      <c r="O5" s="15" t="s">
        <v>361</v>
      </c>
      <c r="P5" s="15" t="s">
        <v>358</v>
      </c>
      <c r="Q5" s="15" t="s">
        <v>370</v>
      </c>
    </row>
    <row r="6" customFormat="false" ht="57.45" hidden="false" customHeight="false" outlineLevel="0" collapsed="false">
      <c r="A6" s="15" t="s">
        <v>352</v>
      </c>
      <c r="B6" s="15" t="s">
        <v>353</v>
      </c>
      <c r="C6" s="15" t="s">
        <v>90</v>
      </c>
      <c r="D6" s="20" t="s">
        <v>75</v>
      </c>
      <c r="E6" s="15" t="s">
        <v>371</v>
      </c>
      <c r="F6" s="15" t="s">
        <v>372</v>
      </c>
      <c r="G6" s="15" t="s">
        <v>373</v>
      </c>
      <c r="H6" s="15" t="s">
        <v>366</v>
      </c>
      <c r="I6" s="15" t="s">
        <v>374</v>
      </c>
      <c r="J6" s="15" t="s">
        <v>358</v>
      </c>
      <c r="K6" s="15" t="s">
        <v>358</v>
      </c>
      <c r="L6" s="18" t="s">
        <v>67</v>
      </c>
      <c r="M6" s="15" t="s">
        <v>375</v>
      </c>
      <c r="N6" s="15" t="s">
        <v>376</v>
      </c>
      <c r="O6" s="15" t="s">
        <v>361</v>
      </c>
      <c r="P6" s="15" t="s">
        <v>358</v>
      </c>
      <c r="Q6" s="15" t="s">
        <v>377</v>
      </c>
    </row>
    <row r="7" customFormat="false" ht="46.25" hidden="false" customHeight="false" outlineLevel="0" collapsed="false">
      <c r="A7" s="15" t="s">
        <v>378</v>
      </c>
      <c r="B7" s="15" t="s">
        <v>379</v>
      </c>
      <c r="C7" s="15" t="s">
        <v>90</v>
      </c>
      <c r="D7" s="16" t="s">
        <v>73</v>
      </c>
      <c r="E7" s="15" t="s">
        <v>91</v>
      </c>
      <c r="F7" s="15" t="s">
        <v>380</v>
      </c>
      <c r="G7" s="15" t="s">
        <v>355</v>
      </c>
      <c r="H7" s="15" t="s">
        <v>381</v>
      </c>
      <c r="I7" s="15" t="s">
        <v>382</v>
      </c>
      <c r="J7" s="15" t="s">
        <v>358</v>
      </c>
      <c r="K7" s="15" t="s">
        <v>358</v>
      </c>
      <c r="L7" s="18" t="s">
        <v>67</v>
      </c>
      <c r="M7" s="15" t="s">
        <v>383</v>
      </c>
      <c r="N7" s="15" t="s">
        <v>232</v>
      </c>
      <c r="O7" s="15" t="s">
        <v>384</v>
      </c>
      <c r="P7" s="15" t="s">
        <v>385</v>
      </c>
      <c r="Q7" s="15" t="s">
        <v>386</v>
      </c>
    </row>
    <row r="8" customFormat="false" ht="57.45" hidden="false" customHeight="false" outlineLevel="0" collapsed="false">
      <c r="A8" s="15" t="s">
        <v>378</v>
      </c>
      <c r="B8" s="15" t="s">
        <v>379</v>
      </c>
      <c r="C8" s="15" t="s">
        <v>90</v>
      </c>
      <c r="D8" s="19" t="s">
        <v>74</v>
      </c>
      <c r="E8" s="15" t="s">
        <v>192</v>
      </c>
      <c r="F8" s="15" t="s">
        <v>387</v>
      </c>
      <c r="G8" s="15" t="s">
        <v>388</v>
      </c>
      <c r="H8" s="15" t="s">
        <v>389</v>
      </c>
      <c r="I8" s="15" t="s">
        <v>382</v>
      </c>
      <c r="J8" s="15" t="s">
        <v>358</v>
      </c>
      <c r="K8" s="15" t="s">
        <v>358</v>
      </c>
      <c r="L8" s="18" t="s">
        <v>67</v>
      </c>
      <c r="M8" s="15" t="s">
        <v>390</v>
      </c>
      <c r="N8" s="15" t="s">
        <v>232</v>
      </c>
      <c r="O8" s="15" t="s">
        <v>384</v>
      </c>
      <c r="P8" s="15" t="s">
        <v>358</v>
      </c>
      <c r="Q8" s="15" t="s">
        <v>391</v>
      </c>
    </row>
    <row r="9" customFormat="false" ht="68.65" hidden="false" customHeight="false" outlineLevel="0" collapsed="false">
      <c r="A9" s="15" t="s">
        <v>378</v>
      </c>
      <c r="B9" s="15" t="s">
        <v>379</v>
      </c>
      <c r="C9" s="15" t="s">
        <v>90</v>
      </c>
      <c r="D9" s="20" t="s">
        <v>75</v>
      </c>
      <c r="E9" s="15" t="s">
        <v>371</v>
      </c>
      <c r="F9" s="15" t="s">
        <v>392</v>
      </c>
      <c r="G9" s="15" t="s">
        <v>393</v>
      </c>
      <c r="H9" s="15" t="s">
        <v>394</v>
      </c>
      <c r="I9" s="15" t="s">
        <v>382</v>
      </c>
      <c r="J9" s="15" t="s">
        <v>358</v>
      </c>
      <c r="K9" s="15" t="s">
        <v>358</v>
      </c>
      <c r="L9" s="18" t="s">
        <v>67</v>
      </c>
      <c r="M9" s="15" t="s">
        <v>395</v>
      </c>
      <c r="N9" s="15" t="s">
        <v>232</v>
      </c>
      <c r="O9" s="15" t="s">
        <v>384</v>
      </c>
      <c r="P9" s="15" t="s">
        <v>358</v>
      </c>
      <c r="Q9" s="15" t="s">
        <v>396</v>
      </c>
    </row>
    <row r="10" customFormat="false" ht="46.25" hidden="false" customHeight="false" outlineLevel="0" collapsed="false">
      <c r="A10" s="15" t="s">
        <v>88</v>
      </c>
      <c r="B10" s="15" t="s">
        <v>89</v>
      </c>
      <c r="C10" s="15" t="s">
        <v>90</v>
      </c>
      <c r="D10" s="16" t="s">
        <v>73</v>
      </c>
      <c r="E10" s="15" t="s">
        <v>91</v>
      </c>
      <c r="F10" s="15" t="s">
        <v>92</v>
      </c>
      <c r="G10" s="15" t="s">
        <v>355</v>
      </c>
      <c r="H10" s="15" t="s">
        <v>381</v>
      </c>
      <c r="I10" s="15" t="s">
        <v>397</v>
      </c>
      <c r="J10" s="15" t="s">
        <v>358</v>
      </c>
      <c r="K10" s="15" t="s">
        <v>358</v>
      </c>
      <c r="L10" s="18" t="s">
        <v>67</v>
      </c>
      <c r="M10" s="15" t="s">
        <v>94</v>
      </c>
      <c r="N10" s="15" t="s">
        <v>95</v>
      </c>
      <c r="O10" s="15" t="s">
        <v>398</v>
      </c>
      <c r="P10" s="15" t="s">
        <v>93</v>
      </c>
      <c r="Q10" s="15" t="s">
        <v>399</v>
      </c>
    </row>
    <row r="11" customFormat="false" ht="46.25" hidden="false" customHeight="false" outlineLevel="0" collapsed="false">
      <c r="A11" s="15" t="s">
        <v>88</v>
      </c>
      <c r="B11" s="15" t="s">
        <v>89</v>
      </c>
      <c r="C11" s="15" t="s">
        <v>90</v>
      </c>
      <c r="D11" s="19" t="s">
        <v>74</v>
      </c>
      <c r="E11" s="15" t="s">
        <v>192</v>
      </c>
      <c r="F11" s="15" t="s">
        <v>400</v>
      </c>
      <c r="G11" s="15" t="s">
        <v>401</v>
      </c>
      <c r="H11" s="15" t="s">
        <v>402</v>
      </c>
      <c r="I11" s="15" t="s">
        <v>403</v>
      </c>
      <c r="J11" s="15" t="s">
        <v>358</v>
      </c>
      <c r="K11" s="15" t="s">
        <v>358</v>
      </c>
      <c r="L11" s="18" t="s">
        <v>67</v>
      </c>
      <c r="M11" s="15" t="s">
        <v>404</v>
      </c>
      <c r="N11" s="15" t="s">
        <v>405</v>
      </c>
      <c r="O11" s="15" t="s">
        <v>398</v>
      </c>
      <c r="P11" s="15" t="s">
        <v>358</v>
      </c>
      <c r="Q11" s="15" t="s">
        <v>406</v>
      </c>
    </row>
    <row r="12" customFormat="false" ht="46.25" hidden="false" customHeight="false" outlineLevel="0" collapsed="false">
      <c r="A12" s="15" t="s">
        <v>88</v>
      </c>
      <c r="B12" s="15" t="s">
        <v>89</v>
      </c>
      <c r="C12" s="15" t="s">
        <v>90</v>
      </c>
      <c r="D12" s="20" t="s">
        <v>75</v>
      </c>
      <c r="E12" s="15" t="s">
        <v>371</v>
      </c>
      <c r="F12" s="15" t="s">
        <v>407</v>
      </c>
      <c r="G12" s="15" t="s">
        <v>408</v>
      </c>
      <c r="H12" s="15" t="s">
        <v>402</v>
      </c>
      <c r="I12" s="15" t="s">
        <v>403</v>
      </c>
      <c r="J12" s="15" t="s">
        <v>358</v>
      </c>
      <c r="K12" s="15" t="s">
        <v>358</v>
      </c>
      <c r="L12" s="18" t="s">
        <v>67</v>
      </c>
      <c r="M12" s="15" t="s">
        <v>404</v>
      </c>
      <c r="N12" s="15" t="s">
        <v>405</v>
      </c>
      <c r="O12" s="15" t="s">
        <v>398</v>
      </c>
      <c r="P12" s="15" t="s">
        <v>358</v>
      </c>
      <c r="Q12" s="15" t="s">
        <v>409</v>
      </c>
    </row>
    <row r="13" customFormat="false" ht="46.25" hidden="false" customHeight="false" outlineLevel="0" collapsed="false">
      <c r="A13" s="15" t="s">
        <v>141</v>
      </c>
      <c r="B13" s="15" t="s">
        <v>142</v>
      </c>
      <c r="C13" s="15" t="s">
        <v>90</v>
      </c>
      <c r="D13" s="16" t="s">
        <v>73</v>
      </c>
      <c r="E13" s="15" t="s">
        <v>143</v>
      </c>
      <c r="F13" s="15" t="s">
        <v>144</v>
      </c>
      <c r="G13" s="15" t="s">
        <v>355</v>
      </c>
      <c r="H13" s="15" t="s">
        <v>410</v>
      </c>
      <c r="I13" s="15" t="s">
        <v>411</v>
      </c>
      <c r="J13" s="15" t="s">
        <v>358</v>
      </c>
      <c r="K13" s="15" t="s">
        <v>358</v>
      </c>
      <c r="L13" s="18" t="s">
        <v>67</v>
      </c>
      <c r="M13" s="15" t="s">
        <v>146</v>
      </c>
      <c r="N13" s="15" t="s">
        <v>147</v>
      </c>
      <c r="O13" s="15" t="s">
        <v>412</v>
      </c>
      <c r="P13" s="15" t="s">
        <v>145</v>
      </c>
      <c r="Q13" s="15" t="s">
        <v>413</v>
      </c>
    </row>
    <row r="14" customFormat="false" ht="68.65" hidden="false" customHeight="false" outlineLevel="0" collapsed="false">
      <c r="A14" s="15" t="s">
        <v>141</v>
      </c>
      <c r="B14" s="15" t="s">
        <v>142</v>
      </c>
      <c r="C14" s="15" t="s">
        <v>90</v>
      </c>
      <c r="D14" s="19" t="s">
        <v>74</v>
      </c>
      <c r="E14" s="15" t="s">
        <v>192</v>
      </c>
      <c r="F14" s="15" t="s">
        <v>414</v>
      </c>
      <c r="G14" s="15" t="s">
        <v>415</v>
      </c>
      <c r="H14" s="15" t="s">
        <v>416</v>
      </c>
      <c r="I14" s="15" t="s">
        <v>417</v>
      </c>
      <c r="J14" s="15" t="s">
        <v>358</v>
      </c>
      <c r="K14" s="15" t="s">
        <v>358</v>
      </c>
      <c r="L14" s="18" t="s">
        <v>67</v>
      </c>
      <c r="M14" s="15" t="s">
        <v>418</v>
      </c>
      <c r="N14" s="15" t="s">
        <v>419</v>
      </c>
      <c r="O14" s="15" t="s">
        <v>412</v>
      </c>
      <c r="P14" s="15" t="s">
        <v>358</v>
      </c>
      <c r="Q14" s="15" t="s">
        <v>420</v>
      </c>
    </row>
    <row r="15" customFormat="false" ht="68.65" hidden="false" customHeight="false" outlineLevel="0" collapsed="false">
      <c r="A15" s="15" t="s">
        <v>141</v>
      </c>
      <c r="B15" s="15" t="s">
        <v>142</v>
      </c>
      <c r="C15" s="15" t="s">
        <v>90</v>
      </c>
      <c r="D15" s="20" t="s">
        <v>75</v>
      </c>
      <c r="E15" s="15" t="s">
        <v>371</v>
      </c>
      <c r="F15" s="15" t="s">
        <v>421</v>
      </c>
      <c r="G15" s="15" t="s">
        <v>408</v>
      </c>
      <c r="H15" s="15" t="s">
        <v>416</v>
      </c>
      <c r="I15" s="15" t="s">
        <v>417</v>
      </c>
      <c r="J15" s="15" t="s">
        <v>358</v>
      </c>
      <c r="K15" s="15" t="s">
        <v>358</v>
      </c>
      <c r="L15" s="18" t="s">
        <v>67</v>
      </c>
      <c r="M15" s="15" t="s">
        <v>418</v>
      </c>
      <c r="N15" s="15" t="s">
        <v>419</v>
      </c>
      <c r="O15" s="15" t="s">
        <v>412</v>
      </c>
      <c r="P15" s="15" t="s">
        <v>358</v>
      </c>
      <c r="Q15" s="15" t="s">
        <v>422</v>
      </c>
    </row>
    <row r="16" customFormat="false" ht="23.85" hidden="false" customHeight="false" outlineLevel="0" collapsed="false">
      <c r="A16" s="15" t="s">
        <v>423</v>
      </c>
      <c r="B16" s="15" t="s">
        <v>424</v>
      </c>
      <c r="C16" s="15" t="s">
        <v>90</v>
      </c>
      <c r="D16" s="16" t="s">
        <v>73</v>
      </c>
      <c r="E16" s="15" t="s">
        <v>91</v>
      </c>
      <c r="F16" s="15" t="s">
        <v>425</v>
      </c>
      <c r="G16" s="15" t="s">
        <v>355</v>
      </c>
      <c r="H16" s="15" t="s">
        <v>426</v>
      </c>
      <c r="I16" s="15" t="s">
        <v>358</v>
      </c>
      <c r="J16" s="15" t="s">
        <v>358</v>
      </c>
      <c r="K16" s="15" t="s">
        <v>358</v>
      </c>
      <c r="L16" s="21" t="s">
        <v>66</v>
      </c>
      <c r="M16" s="15" t="s">
        <v>427</v>
      </c>
      <c r="N16" s="15" t="s">
        <v>107</v>
      </c>
      <c r="O16" s="15" t="s">
        <v>428</v>
      </c>
      <c r="P16" s="15" t="s">
        <v>429</v>
      </c>
      <c r="Q16" s="15" t="s">
        <v>430</v>
      </c>
    </row>
    <row r="17" customFormat="false" ht="35.05" hidden="false" customHeight="false" outlineLevel="0" collapsed="false">
      <c r="A17" s="15" t="s">
        <v>423</v>
      </c>
      <c r="B17" s="15" t="s">
        <v>424</v>
      </c>
      <c r="C17" s="15" t="s">
        <v>90</v>
      </c>
      <c r="D17" s="19" t="s">
        <v>74</v>
      </c>
      <c r="E17" s="15" t="s">
        <v>192</v>
      </c>
      <c r="F17" s="15" t="s">
        <v>431</v>
      </c>
      <c r="G17" s="15" t="s">
        <v>432</v>
      </c>
      <c r="H17" s="15" t="s">
        <v>433</v>
      </c>
      <c r="I17" s="15" t="s">
        <v>358</v>
      </c>
      <c r="J17" s="15" t="s">
        <v>358</v>
      </c>
      <c r="K17" s="15" t="s">
        <v>358</v>
      </c>
      <c r="L17" s="21" t="s">
        <v>66</v>
      </c>
      <c r="M17" s="15" t="s">
        <v>434</v>
      </c>
      <c r="N17" s="15" t="s">
        <v>107</v>
      </c>
      <c r="O17" s="15" t="s">
        <v>428</v>
      </c>
      <c r="P17" s="15" t="s">
        <v>358</v>
      </c>
      <c r="Q17" s="15" t="s">
        <v>435</v>
      </c>
    </row>
    <row r="18" customFormat="false" ht="46.25" hidden="false" customHeight="false" outlineLevel="0" collapsed="false">
      <c r="A18" s="15" t="s">
        <v>423</v>
      </c>
      <c r="B18" s="15" t="s">
        <v>424</v>
      </c>
      <c r="C18" s="15" t="s">
        <v>90</v>
      </c>
      <c r="D18" s="20" t="s">
        <v>75</v>
      </c>
      <c r="E18" s="15" t="s">
        <v>371</v>
      </c>
      <c r="F18" s="15" t="s">
        <v>436</v>
      </c>
      <c r="G18" s="15" t="s">
        <v>437</v>
      </c>
      <c r="H18" s="15" t="s">
        <v>438</v>
      </c>
      <c r="I18" s="15" t="s">
        <v>358</v>
      </c>
      <c r="J18" s="15" t="s">
        <v>358</v>
      </c>
      <c r="K18" s="15" t="s">
        <v>358</v>
      </c>
      <c r="L18" s="21" t="s">
        <v>66</v>
      </c>
      <c r="M18" s="15" t="s">
        <v>439</v>
      </c>
      <c r="N18" s="15" t="s">
        <v>107</v>
      </c>
      <c r="O18" s="15" t="s">
        <v>428</v>
      </c>
      <c r="P18" s="15" t="s">
        <v>358</v>
      </c>
      <c r="Q18" s="15" t="s">
        <v>440</v>
      </c>
    </row>
    <row r="19" customFormat="false" ht="35.05" hidden="false" customHeight="false" outlineLevel="0" collapsed="false">
      <c r="A19" s="15" t="s">
        <v>441</v>
      </c>
      <c r="B19" s="15" t="s">
        <v>442</v>
      </c>
      <c r="C19" s="15" t="s">
        <v>90</v>
      </c>
      <c r="D19" s="16" t="s">
        <v>73</v>
      </c>
      <c r="E19" s="15" t="s">
        <v>91</v>
      </c>
      <c r="F19" s="15" t="s">
        <v>443</v>
      </c>
      <c r="G19" s="15" t="s">
        <v>355</v>
      </c>
      <c r="H19" s="15" t="s">
        <v>444</v>
      </c>
      <c r="I19" s="15" t="s">
        <v>445</v>
      </c>
      <c r="J19" s="15" t="s">
        <v>358</v>
      </c>
      <c r="K19" s="15" t="s">
        <v>358</v>
      </c>
      <c r="L19" s="18" t="s">
        <v>67</v>
      </c>
      <c r="M19" s="15" t="s">
        <v>446</v>
      </c>
      <c r="N19" s="15" t="s">
        <v>447</v>
      </c>
      <c r="O19" s="15" t="s">
        <v>448</v>
      </c>
      <c r="P19" s="15" t="s">
        <v>449</v>
      </c>
      <c r="Q19" s="15" t="s">
        <v>450</v>
      </c>
    </row>
    <row r="20" customFormat="false" ht="46.25" hidden="false" customHeight="false" outlineLevel="0" collapsed="false">
      <c r="A20" s="15" t="s">
        <v>441</v>
      </c>
      <c r="B20" s="15" t="s">
        <v>442</v>
      </c>
      <c r="C20" s="15" t="s">
        <v>90</v>
      </c>
      <c r="D20" s="19" t="s">
        <v>74</v>
      </c>
      <c r="E20" s="15" t="s">
        <v>192</v>
      </c>
      <c r="F20" s="15" t="s">
        <v>451</v>
      </c>
      <c r="G20" s="15" t="s">
        <v>452</v>
      </c>
      <c r="H20" s="15" t="s">
        <v>444</v>
      </c>
      <c r="I20" s="15" t="s">
        <v>453</v>
      </c>
      <c r="J20" s="15" t="s">
        <v>358</v>
      </c>
      <c r="K20" s="15" t="s">
        <v>358</v>
      </c>
      <c r="L20" s="18" t="s">
        <v>67</v>
      </c>
      <c r="M20" s="15" t="s">
        <v>454</v>
      </c>
      <c r="N20" s="15" t="s">
        <v>455</v>
      </c>
      <c r="O20" s="15" t="s">
        <v>448</v>
      </c>
      <c r="P20" s="15" t="s">
        <v>358</v>
      </c>
      <c r="Q20" s="15" t="s">
        <v>456</v>
      </c>
    </row>
    <row r="21" customFormat="false" ht="46.25" hidden="false" customHeight="false" outlineLevel="0" collapsed="false">
      <c r="A21" s="15" t="s">
        <v>441</v>
      </c>
      <c r="B21" s="15" t="s">
        <v>442</v>
      </c>
      <c r="C21" s="15" t="s">
        <v>90</v>
      </c>
      <c r="D21" s="20" t="s">
        <v>75</v>
      </c>
      <c r="E21" s="15" t="s">
        <v>371</v>
      </c>
      <c r="F21" s="15" t="s">
        <v>457</v>
      </c>
      <c r="G21" s="15" t="s">
        <v>458</v>
      </c>
      <c r="H21" s="15" t="s">
        <v>459</v>
      </c>
      <c r="I21" s="15" t="s">
        <v>453</v>
      </c>
      <c r="J21" s="15" t="s">
        <v>358</v>
      </c>
      <c r="K21" s="15" t="s">
        <v>358</v>
      </c>
      <c r="L21" s="18" t="s">
        <v>67</v>
      </c>
      <c r="M21" s="15" t="s">
        <v>460</v>
      </c>
      <c r="N21" s="15" t="s">
        <v>455</v>
      </c>
      <c r="O21" s="15" t="s">
        <v>448</v>
      </c>
      <c r="P21" s="15" t="s">
        <v>358</v>
      </c>
      <c r="Q21" s="15" t="s">
        <v>461</v>
      </c>
    </row>
    <row r="22" customFormat="false" ht="23.85" hidden="false" customHeight="false" outlineLevel="0" collapsed="false">
      <c r="A22" s="15" t="s">
        <v>189</v>
      </c>
      <c r="B22" s="15" t="s">
        <v>190</v>
      </c>
      <c r="C22" s="15" t="s">
        <v>191</v>
      </c>
      <c r="D22" s="16" t="s">
        <v>73</v>
      </c>
      <c r="E22" s="15" t="s">
        <v>192</v>
      </c>
      <c r="F22" s="15" t="s">
        <v>193</v>
      </c>
      <c r="G22" s="15" t="s">
        <v>355</v>
      </c>
      <c r="H22" s="15" t="s">
        <v>462</v>
      </c>
      <c r="I22" s="15" t="s">
        <v>358</v>
      </c>
      <c r="J22" s="15" t="s">
        <v>358</v>
      </c>
      <c r="K22" s="15" t="s">
        <v>358</v>
      </c>
      <c r="L22" s="21" t="s">
        <v>66</v>
      </c>
      <c r="M22" s="15" t="s">
        <v>194</v>
      </c>
      <c r="N22" s="15" t="s">
        <v>107</v>
      </c>
      <c r="O22" s="15" t="s">
        <v>463</v>
      </c>
      <c r="P22" s="15" t="s">
        <v>105</v>
      </c>
      <c r="Q22" s="15" t="s">
        <v>464</v>
      </c>
    </row>
    <row r="23" customFormat="false" ht="46.25" hidden="false" customHeight="false" outlineLevel="0" collapsed="false">
      <c r="A23" s="15" t="s">
        <v>189</v>
      </c>
      <c r="B23" s="15" t="s">
        <v>190</v>
      </c>
      <c r="C23" s="15" t="s">
        <v>191</v>
      </c>
      <c r="D23" s="19" t="s">
        <v>74</v>
      </c>
      <c r="E23" s="15" t="s">
        <v>465</v>
      </c>
      <c r="F23" s="15" t="s">
        <v>466</v>
      </c>
      <c r="G23" s="15" t="s">
        <v>467</v>
      </c>
      <c r="H23" s="15" t="s">
        <v>468</v>
      </c>
      <c r="I23" s="15" t="s">
        <v>358</v>
      </c>
      <c r="J23" s="15" t="s">
        <v>358</v>
      </c>
      <c r="K23" s="15" t="s">
        <v>358</v>
      </c>
      <c r="L23" s="21" t="s">
        <v>66</v>
      </c>
      <c r="M23" s="15" t="s">
        <v>469</v>
      </c>
      <c r="N23" s="15" t="s">
        <v>107</v>
      </c>
      <c r="O23" s="15" t="s">
        <v>463</v>
      </c>
      <c r="P23" s="15" t="s">
        <v>358</v>
      </c>
      <c r="Q23" s="15" t="s">
        <v>470</v>
      </c>
    </row>
    <row r="24" customFormat="false" ht="46.25" hidden="false" customHeight="false" outlineLevel="0" collapsed="false">
      <c r="A24" s="15" t="s">
        <v>189</v>
      </c>
      <c r="B24" s="15" t="s">
        <v>190</v>
      </c>
      <c r="C24" s="15" t="s">
        <v>191</v>
      </c>
      <c r="D24" s="20" t="s">
        <v>75</v>
      </c>
      <c r="E24" s="15" t="s">
        <v>471</v>
      </c>
      <c r="F24" s="15" t="s">
        <v>472</v>
      </c>
      <c r="G24" s="15" t="s">
        <v>473</v>
      </c>
      <c r="H24" s="15" t="s">
        <v>468</v>
      </c>
      <c r="I24" s="15" t="s">
        <v>358</v>
      </c>
      <c r="J24" s="15" t="s">
        <v>474</v>
      </c>
      <c r="K24" s="15" t="s">
        <v>358</v>
      </c>
      <c r="L24" s="22" t="s">
        <v>68</v>
      </c>
      <c r="M24" s="15" t="s">
        <v>475</v>
      </c>
      <c r="N24" s="15" t="s">
        <v>476</v>
      </c>
      <c r="O24" s="15" t="s">
        <v>463</v>
      </c>
      <c r="P24" s="15" t="s">
        <v>358</v>
      </c>
      <c r="Q24" s="15" t="s">
        <v>477</v>
      </c>
    </row>
    <row r="25" customFormat="false" ht="23.85" hidden="false" customHeight="false" outlineLevel="0" collapsed="false">
      <c r="A25" s="15" t="s">
        <v>195</v>
      </c>
      <c r="B25" s="15" t="s">
        <v>196</v>
      </c>
      <c r="C25" s="15" t="s">
        <v>191</v>
      </c>
      <c r="D25" s="16" t="s">
        <v>73</v>
      </c>
      <c r="E25" s="15" t="s">
        <v>192</v>
      </c>
      <c r="F25" s="15" t="s">
        <v>197</v>
      </c>
      <c r="G25" s="15" t="s">
        <v>355</v>
      </c>
      <c r="H25" s="15" t="s">
        <v>478</v>
      </c>
      <c r="I25" s="15" t="s">
        <v>358</v>
      </c>
      <c r="J25" s="15" t="s">
        <v>358</v>
      </c>
      <c r="K25" s="15" t="s">
        <v>358</v>
      </c>
      <c r="L25" s="21" t="s">
        <v>66</v>
      </c>
      <c r="M25" s="15" t="s">
        <v>198</v>
      </c>
      <c r="N25" s="15" t="s">
        <v>107</v>
      </c>
      <c r="O25" s="15" t="s">
        <v>479</v>
      </c>
      <c r="P25" s="15" t="s">
        <v>105</v>
      </c>
      <c r="Q25" s="15" t="s">
        <v>480</v>
      </c>
    </row>
    <row r="26" customFormat="false" ht="46.25" hidden="false" customHeight="false" outlineLevel="0" collapsed="false">
      <c r="A26" s="15" t="s">
        <v>195</v>
      </c>
      <c r="B26" s="15" t="s">
        <v>196</v>
      </c>
      <c r="C26" s="15" t="s">
        <v>191</v>
      </c>
      <c r="D26" s="19" t="s">
        <v>74</v>
      </c>
      <c r="E26" s="15" t="s">
        <v>465</v>
      </c>
      <c r="F26" s="15" t="s">
        <v>481</v>
      </c>
      <c r="G26" s="15" t="s">
        <v>482</v>
      </c>
      <c r="H26" s="15" t="s">
        <v>483</v>
      </c>
      <c r="I26" s="15" t="s">
        <v>358</v>
      </c>
      <c r="J26" s="15" t="s">
        <v>358</v>
      </c>
      <c r="K26" s="15" t="s">
        <v>484</v>
      </c>
      <c r="L26" s="23" t="s">
        <v>69</v>
      </c>
      <c r="M26" s="15" t="s">
        <v>485</v>
      </c>
      <c r="N26" s="15" t="s">
        <v>486</v>
      </c>
      <c r="O26" s="15" t="s">
        <v>479</v>
      </c>
      <c r="P26" s="15" t="s">
        <v>358</v>
      </c>
      <c r="Q26" s="15" t="s">
        <v>487</v>
      </c>
    </row>
    <row r="27" customFormat="false" ht="57.45" hidden="false" customHeight="false" outlineLevel="0" collapsed="false">
      <c r="A27" s="15" t="s">
        <v>195</v>
      </c>
      <c r="B27" s="15" t="s">
        <v>196</v>
      </c>
      <c r="C27" s="15" t="s">
        <v>191</v>
      </c>
      <c r="D27" s="20" t="s">
        <v>75</v>
      </c>
      <c r="E27" s="15" t="s">
        <v>471</v>
      </c>
      <c r="F27" s="15" t="s">
        <v>488</v>
      </c>
      <c r="G27" s="15" t="s">
        <v>473</v>
      </c>
      <c r="H27" s="15" t="s">
        <v>483</v>
      </c>
      <c r="I27" s="15" t="s">
        <v>358</v>
      </c>
      <c r="J27" s="15" t="s">
        <v>474</v>
      </c>
      <c r="K27" s="15" t="s">
        <v>484</v>
      </c>
      <c r="L27" s="23" t="s">
        <v>69</v>
      </c>
      <c r="M27" s="15" t="s">
        <v>489</v>
      </c>
      <c r="N27" s="15" t="s">
        <v>490</v>
      </c>
      <c r="O27" s="15" t="s">
        <v>479</v>
      </c>
      <c r="P27" s="15" t="s">
        <v>358</v>
      </c>
      <c r="Q27" s="15" t="s">
        <v>491</v>
      </c>
    </row>
    <row r="28" customFormat="false" ht="23.85" hidden="false" customHeight="false" outlineLevel="0" collapsed="false">
      <c r="A28" s="15" t="s">
        <v>199</v>
      </c>
      <c r="B28" s="15" t="s">
        <v>200</v>
      </c>
      <c r="C28" s="15" t="s">
        <v>191</v>
      </c>
      <c r="D28" s="16" t="s">
        <v>73</v>
      </c>
      <c r="E28" s="15" t="s">
        <v>192</v>
      </c>
      <c r="F28" s="15" t="s">
        <v>201</v>
      </c>
      <c r="G28" s="15" t="s">
        <v>355</v>
      </c>
      <c r="H28" s="15" t="s">
        <v>492</v>
      </c>
      <c r="I28" s="15" t="s">
        <v>358</v>
      </c>
      <c r="J28" s="15" t="s">
        <v>358</v>
      </c>
      <c r="K28" s="15" t="s">
        <v>358</v>
      </c>
      <c r="L28" s="21" t="s">
        <v>66</v>
      </c>
      <c r="M28" s="15" t="s">
        <v>202</v>
      </c>
      <c r="N28" s="15" t="s">
        <v>107</v>
      </c>
      <c r="O28" s="15" t="s">
        <v>493</v>
      </c>
      <c r="P28" s="15" t="s">
        <v>105</v>
      </c>
      <c r="Q28" s="15" t="s">
        <v>494</v>
      </c>
    </row>
    <row r="29" customFormat="false" ht="46.25" hidden="false" customHeight="false" outlineLevel="0" collapsed="false">
      <c r="A29" s="15" t="s">
        <v>199</v>
      </c>
      <c r="B29" s="15" t="s">
        <v>200</v>
      </c>
      <c r="C29" s="15" t="s">
        <v>191</v>
      </c>
      <c r="D29" s="19" t="s">
        <v>74</v>
      </c>
      <c r="E29" s="15" t="s">
        <v>465</v>
      </c>
      <c r="F29" s="15" t="s">
        <v>495</v>
      </c>
      <c r="G29" s="15" t="s">
        <v>496</v>
      </c>
      <c r="H29" s="15" t="s">
        <v>497</v>
      </c>
      <c r="I29" s="15" t="s">
        <v>498</v>
      </c>
      <c r="J29" s="15" t="s">
        <v>358</v>
      </c>
      <c r="K29" s="15" t="s">
        <v>358</v>
      </c>
      <c r="L29" s="18" t="s">
        <v>67</v>
      </c>
      <c r="M29" s="15" t="s">
        <v>499</v>
      </c>
      <c r="N29" s="15" t="s">
        <v>500</v>
      </c>
      <c r="O29" s="15" t="s">
        <v>493</v>
      </c>
      <c r="P29" s="15" t="s">
        <v>358</v>
      </c>
      <c r="Q29" s="15" t="s">
        <v>501</v>
      </c>
    </row>
    <row r="30" customFormat="false" ht="57.45" hidden="false" customHeight="false" outlineLevel="0" collapsed="false">
      <c r="A30" s="15" t="s">
        <v>199</v>
      </c>
      <c r="B30" s="15" t="s">
        <v>200</v>
      </c>
      <c r="C30" s="15" t="s">
        <v>191</v>
      </c>
      <c r="D30" s="20" t="s">
        <v>75</v>
      </c>
      <c r="E30" s="15" t="s">
        <v>471</v>
      </c>
      <c r="F30" s="15" t="s">
        <v>502</v>
      </c>
      <c r="G30" s="15" t="s">
        <v>473</v>
      </c>
      <c r="H30" s="15" t="s">
        <v>497</v>
      </c>
      <c r="I30" s="15" t="s">
        <v>498</v>
      </c>
      <c r="J30" s="15" t="s">
        <v>474</v>
      </c>
      <c r="K30" s="15" t="s">
        <v>358</v>
      </c>
      <c r="L30" s="22" t="s">
        <v>68</v>
      </c>
      <c r="M30" s="15" t="s">
        <v>503</v>
      </c>
      <c r="N30" s="15" t="s">
        <v>504</v>
      </c>
      <c r="O30" s="15" t="s">
        <v>493</v>
      </c>
      <c r="P30" s="15" t="s">
        <v>358</v>
      </c>
      <c r="Q30" s="15" t="s">
        <v>505</v>
      </c>
    </row>
    <row r="31" customFormat="false" ht="35.05" hidden="false" customHeight="false" outlineLevel="0" collapsed="false">
      <c r="A31" s="15" t="s">
        <v>203</v>
      </c>
      <c r="B31" s="15" t="s">
        <v>204</v>
      </c>
      <c r="C31" s="15" t="s">
        <v>191</v>
      </c>
      <c r="D31" s="16" t="s">
        <v>73</v>
      </c>
      <c r="E31" s="15" t="s">
        <v>192</v>
      </c>
      <c r="F31" s="15" t="s">
        <v>205</v>
      </c>
      <c r="G31" s="15" t="s">
        <v>355</v>
      </c>
      <c r="H31" s="15" t="s">
        <v>506</v>
      </c>
      <c r="I31" s="15" t="s">
        <v>507</v>
      </c>
      <c r="J31" s="15" t="s">
        <v>358</v>
      </c>
      <c r="K31" s="15" t="s">
        <v>358</v>
      </c>
      <c r="L31" s="18" t="s">
        <v>67</v>
      </c>
      <c r="M31" s="15" t="s">
        <v>206</v>
      </c>
      <c r="N31" s="15" t="s">
        <v>207</v>
      </c>
      <c r="O31" s="15" t="s">
        <v>508</v>
      </c>
      <c r="P31" s="15" t="s">
        <v>105</v>
      </c>
      <c r="Q31" s="15" t="s">
        <v>509</v>
      </c>
    </row>
    <row r="32" customFormat="false" ht="46.25" hidden="false" customHeight="false" outlineLevel="0" collapsed="false">
      <c r="A32" s="15" t="s">
        <v>203</v>
      </c>
      <c r="B32" s="15" t="s">
        <v>204</v>
      </c>
      <c r="C32" s="15" t="s">
        <v>191</v>
      </c>
      <c r="D32" s="19" t="s">
        <v>74</v>
      </c>
      <c r="E32" s="15" t="s">
        <v>465</v>
      </c>
      <c r="F32" s="15" t="s">
        <v>510</v>
      </c>
      <c r="G32" s="15" t="s">
        <v>511</v>
      </c>
      <c r="H32" s="15" t="s">
        <v>512</v>
      </c>
      <c r="I32" s="15" t="s">
        <v>507</v>
      </c>
      <c r="J32" s="15" t="s">
        <v>358</v>
      </c>
      <c r="K32" s="15" t="s">
        <v>358</v>
      </c>
      <c r="L32" s="18" t="s">
        <v>67</v>
      </c>
      <c r="M32" s="15" t="s">
        <v>513</v>
      </c>
      <c r="N32" s="15" t="s">
        <v>207</v>
      </c>
      <c r="O32" s="15" t="s">
        <v>508</v>
      </c>
      <c r="P32" s="15" t="s">
        <v>358</v>
      </c>
      <c r="Q32" s="15" t="s">
        <v>514</v>
      </c>
    </row>
    <row r="33" customFormat="false" ht="46.25" hidden="false" customHeight="false" outlineLevel="0" collapsed="false">
      <c r="A33" s="15" t="s">
        <v>203</v>
      </c>
      <c r="B33" s="15" t="s">
        <v>204</v>
      </c>
      <c r="C33" s="15" t="s">
        <v>191</v>
      </c>
      <c r="D33" s="20" t="s">
        <v>75</v>
      </c>
      <c r="E33" s="15" t="s">
        <v>471</v>
      </c>
      <c r="F33" s="15" t="s">
        <v>515</v>
      </c>
      <c r="G33" s="15" t="s">
        <v>516</v>
      </c>
      <c r="H33" s="15" t="s">
        <v>517</v>
      </c>
      <c r="I33" s="15" t="s">
        <v>507</v>
      </c>
      <c r="J33" s="15" t="s">
        <v>358</v>
      </c>
      <c r="K33" s="15" t="s">
        <v>358</v>
      </c>
      <c r="L33" s="18" t="s">
        <v>67</v>
      </c>
      <c r="M33" s="15" t="s">
        <v>518</v>
      </c>
      <c r="N33" s="15" t="s">
        <v>207</v>
      </c>
      <c r="O33" s="15" t="s">
        <v>508</v>
      </c>
      <c r="P33" s="15" t="s">
        <v>358</v>
      </c>
      <c r="Q33" s="15" t="s">
        <v>519</v>
      </c>
    </row>
    <row r="34" customFormat="false" ht="35.05" hidden="false" customHeight="false" outlineLevel="0" collapsed="false">
      <c r="A34" s="15" t="s">
        <v>208</v>
      </c>
      <c r="B34" s="15" t="s">
        <v>209</v>
      </c>
      <c r="C34" s="15" t="s">
        <v>191</v>
      </c>
      <c r="D34" s="16" t="s">
        <v>73</v>
      </c>
      <c r="E34" s="15" t="s">
        <v>192</v>
      </c>
      <c r="F34" s="15" t="s">
        <v>210</v>
      </c>
      <c r="G34" s="15" t="s">
        <v>355</v>
      </c>
      <c r="H34" s="15" t="s">
        <v>520</v>
      </c>
      <c r="I34" s="15" t="s">
        <v>358</v>
      </c>
      <c r="J34" s="15" t="s">
        <v>358</v>
      </c>
      <c r="K34" s="15" t="s">
        <v>358</v>
      </c>
      <c r="L34" s="21" t="s">
        <v>66</v>
      </c>
      <c r="M34" s="15" t="s">
        <v>211</v>
      </c>
      <c r="N34" s="15" t="s">
        <v>107</v>
      </c>
      <c r="O34" s="15" t="s">
        <v>521</v>
      </c>
      <c r="P34" s="15" t="s">
        <v>105</v>
      </c>
      <c r="Q34" s="15" t="s">
        <v>522</v>
      </c>
    </row>
    <row r="35" customFormat="false" ht="57.45" hidden="false" customHeight="false" outlineLevel="0" collapsed="false">
      <c r="A35" s="15" t="s">
        <v>208</v>
      </c>
      <c r="B35" s="15" t="s">
        <v>209</v>
      </c>
      <c r="C35" s="15" t="s">
        <v>191</v>
      </c>
      <c r="D35" s="19" t="s">
        <v>74</v>
      </c>
      <c r="E35" s="15" t="s">
        <v>465</v>
      </c>
      <c r="F35" s="15" t="s">
        <v>523</v>
      </c>
      <c r="G35" s="15" t="s">
        <v>524</v>
      </c>
      <c r="H35" s="15" t="s">
        <v>525</v>
      </c>
      <c r="I35" s="15" t="s">
        <v>358</v>
      </c>
      <c r="J35" s="15" t="s">
        <v>474</v>
      </c>
      <c r="K35" s="15" t="s">
        <v>358</v>
      </c>
      <c r="L35" s="22" t="s">
        <v>68</v>
      </c>
      <c r="M35" s="15" t="s">
        <v>526</v>
      </c>
      <c r="N35" s="15" t="s">
        <v>476</v>
      </c>
      <c r="O35" s="15" t="s">
        <v>521</v>
      </c>
      <c r="P35" s="15" t="s">
        <v>358</v>
      </c>
      <c r="Q35" s="15" t="s">
        <v>527</v>
      </c>
    </row>
    <row r="36" customFormat="false" ht="57.45" hidden="false" customHeight="false" outlineLevel="0" collapsed="false">
      <c r="A36" s="15" t="s">
        <v>208</v>
      </c>
      <c r="B36" s="15" t="s">
        <v>209</v>
      </c>
      <c r="C36" s="15" t="s">
        <v>191</v>
      </c>
      <c r="D36" s="20" t="s">
        <v>75</v>
      </c>
      <c r="E36" s="15" t="s">
        <v>471</v>
      </c>
      <c r="F36" s="15" t="s">
        <v>528</v>
      </c>
      <c r="G36" s="15" t="s">
        <v>529</v>
      </c>
      <c r="H36" s="15" t="s">
        <v>525</v>
      </c>
      <c r="I36" s="15" t="s">
        <v>358</v>
      </c>
      <c r="J36" s="15" t="s">
        <v>474</v>
      </c>
      <c r="K36" s="15" t="s">
        <v>530</v>
      </c>
      <c r="L36" s="23" t="s">
        <v>69</v>
      </c>
      <c r="M36" s="15" t="s">
        <v>531</v>
      </c>
      <c r="N36" s="15" t="s">
        <v>532</v>
      </c>
      <c r="O36" s="15" t="s">
        <v>521</v>
      </c>
      <c r="P36" s="15" t="s">
        <v>358</v>
      </c>
      <c r="Q36" s="15" t="s">
        <v>533</v>
      </c>
    </row>
    <row r="37" customFormat="false" ht="23.85" hidden="false" customHeight="false" outlineLevel="0" collapsed="false">
      <c r="A37" s="15" t="s">
        <v>247</v>
      </c>
      <c r="B37" s="15" t="s">
        <v>248</v>
      </c>
      <c r="C37" s="15" t="s">
        <v>249</v>
      </c>
      <c r="D37" s="16" t="s">
        <v>73</v>
      </c>
      <c r="E37" s="15" t="s">
        <v>250</v>
      </c>
      <c r="F37" s="15" t="s">
        <v>251</v>
      </c>
      <c r="G37" s="15" t="s">
        <v>355</v>
      </c>
      <c r="H37" s="15" t="s">
        <v>534</v>
      </c>
      <c r="I37" s="15" t="s">
        <v>358</v>
      </c>
      <c r="J37" s="15" t="s">
        <v>358</v>
      </c>
      <c r="K37" s="15" t="s">
        <v>358</v>
      </c>
      <c r="L37" s="21" t="s">
        <v>66</v>
      </c>
      <c r="M37" s="15" t="s">
        <v>253</v>
      </c>
      <c r="N37" s="15" t="s">
        <v>107</v>
      </c>
      <c r="O37" s="15" t="s">
        <v>535</v>
      </c>
      <c r="P37" s="15" t="s">
        <v>252</v>
      </c>
      <c r="Q37" s="15" t="s">
        <v>536</v>
      </c>
    </row>
    <row r="38" customFormat="false" ht="35.05" hidden="false" customHeight="false" outlineLevel="0" collapsed="false">
      <c r="A38" s="15" t="s">
        <v>247</v>
      </c>
      <c r="B38" s="15" t="s">
        <v>248</v>
      </c>
      <c r="C38" s="15" t="s">
        <v>249</v>
      </c>
      <c r="D38" s="19" t="s">
        <v>74</v>
      </c>
      <c r="E38" s="15" t="s">
        <v>250</v>
      </c>
      <c r="F38" s="15" t="s">
        <v>537</v>
      </c>
      <c r="G38" s="15" t="s">
        <v>538</v>
      </c>
      <c r="H38" s="15" t="s">
        <v>534</v>
      </c>
      <c r="I38" s="15" t="s">
        <v>539</v>
      </c>
      <c r="J38" s="15" t="s">
        <v>358</v>
      </c>
      <c r="K38" s="15" t="s">
        <v>358</v>
      </c>
      <c r="L38" s="18" t="s">
        <v>67</v>
      </c>
      <c r="M38" s="15" t="s">
        <v>540</v>
      </c>
      <c r="N38" s="15" t="s">
        <v>541</v>
      </c>
      <c r="O38" s="15" t="s">
        <v>535</v>
      </c>
      <c r="P38" s="15" t="s">
        <v>358</v>
      </c>
      <c r="Q38" s="15" t="s">
        <v>542</v>
      </c>
    </row>
    <row r="39" customFormat="false" ht="46.25" hidden="false" customHeight="false" outlineLevel="0" collapsed="false">
      <c r="A39" s="15" t="s">
        <v>247</v>
      </c>
      <c r="B39" s="15" t="s">
        <v>248</v>
      </c>
      <c r="C39" s="15" t="s">
        <v>249</v>
      </c>
      <c r="D39" s="20" t="s">
        <v>75</v>
      </c>
      <c r="E39" s="15" t="s">
        <v>250</v>
      </c>
      <c r="F39" s="15" t="s">
        <v>543</v>
      </c>
      <c r="G39" s="15" t="s">
        <v>544</v>
      </c>
      <c r="H39" s="15" t="s">
        <v>545</v>
      </c>
      <c r="I39" s="15" t="s">
        <v>539</v>
      </c>
      <c r="J39" s="15" t="s">
        <v>358</v>
      </c>
      <c r="K39" s="15" t="s">
        <v>358</v>
      </c>
      <c r="L39" s="18" t="s">
        <v>67</v>
      </c>
      <c r="M39" s="15" t="s">
        <v>546</v>
      </c>
      <c r="N39" s="15" t="s">
        <v>541</v>
      </c>
      <c r="O39" s="15" t="s">
        <v>535</v>
      </c>
      <c r="P39" s="15" t="s">
        <v>358</v>
      </c>
      <c r="Q39" s="15" t="s">
        <v>547</v>
      </c>
    </row>
    <row r="40" customFormat="false" ht="35.05" hidden="false" customHeight="false" outlineLevel="0" collapsed="false">
      <c r="A40" s="15" t="s">
        <v>548</v>
      </c>
      <c r="B40" s="15" t="s">
        <v>549</v>
      </c>
      <c r="C40" s="15" t="s">
        <v>249</v>
      </c>
      <c r="D40" s="16" t="s">
        <v>73</v>
      </c>
      <c r="E40" s="15" t="s">
        <v>250</v>
      </c>
      <c r="F40" s="15" t="s">
        <v>550</v>
      </c>
      <c r="G40" s="15" t="s">
        <v>355</v>
      </c>
      <c r="H40" s="15" t="s">
        <v>551</v>
      </c>
      <c r="I40" s="15" t="s">
        <v>358</v>
      </c>
      <c r="J40" s="15" t="s">
        <v>474</v>
      </c>
      <c r="K40" s="15" t="s">
        <v>358</v>
      </c>
      <c r="L40" s="22" t="s">
        <v>68</v>
      </c>
      <c r="M40" s="15" t="s">
        <v>552</v>
      </c>
      <c r="N40" s="15" t="s">
        <v>476</v>
      </c>
      <c r="O40" s="15" t="s">
        <v>553</v>
      </c>
      <c r="P40" s="15" t="s">
        <v>554</v>
      </c>
      <c r="Q40" s="15" t="s">
        <v>555</v>
      </c>
    </row>
    <row r="41" customFormat="false" ht="57.45" hidden="false" customHeight="false" outlineLevel="0" collapsed="false">
      <c r="A41" s="15" t="s">
        <v>548</v>
      </c>
      <c r="B41" s="15" t="s">
        <v>549</v>
      </c>
      <c r="C41" s="15" t="s">
        <v>249</v>
      </c>
      <c r="D41" s="19" t="s">
        <v>74</v>
      </c>
      <c r="E41" s="15" t="s">
        <v>250</v>
      </c>
      <c r="F41" s="15" t="s">
        <v>556</v>
      </c>
      <c r="G41" s="15" t="s">
        <v>557</v>
      </c>
      <c r="H41" s="15" t="s">
        <v>558</v>
      </c>
      <c r="I41" s="15" t="s">
        <v>559</v>
      </c>
      <c r="J41" s="15" t="s">
        <v>474</v>
      </c>
      <c r="K41" s="15" t="s">
        <v>358</v>
      </c>
      <c r="L41" s="22" t="s">
        <v>68</v>
      </c>
      <c r="M41" s="15" t="s">
        <v>560</v>
      </c>
      <c r="N41" s="15" t="s">
        <v>561</v>
      </c>
      <c r="O41" s="15" t="s">
        <v>553</v>
      </c>
      <c r="P41" s="15" t="s">
        <v>358</v>
      </c>
      <c r="Q41" s="15" t="s">
        <v>562</v>
      </c>
    </row>
    <row r="42" customFormat="false" ht="57.45" hidden="false" customHeight="false" outlineLevel="0" collapsed="false">
      <c r="A42" s="15" t="s">
        <v>548</v>
      </c>
      <c r="B42" s="15" t="s">
        <v>549</v>
      </c>
      <c r="C42" s="15" t="s">
        <v>249</v>
      </c>
      <c r="D42" s="20" t="s">
        <v>75</v>
      </c>
      <c r="E42" s="15" t="s">
        <v>250</v>
      </c>
      <c r="F42" s="15" t="s">
        <v>563</v>
      </c>
      <c r="G42" s="15" t="s">
        <v>564</v>
      </c>
      <c r="H42" s="15" t="s">
        <v>565</v>
      </c>
      <c r="I42" s="15" t="s">
        <v>559</v>
      </c>
      <c r="J42" s="15" t="s">
        <v>474</v>
      </c>
      <c r="K42" s="15" t="s">
        <v>358</v>
      </c>
      <c r="L42" s="22" t="s">
        <v>68</v>
      </c>
      <c r="M42" s="15" t="s">
        <v>566</v>
      </c>
      <c r="N42" s="15" t="s">
        <v>561</v>
      </c>
      <c r="O42" s="15" t="s">
        <v>553</v>
      </c>
      <c r="P42" s="15" t="s">
        <v>358</v>
      </c>
      <c r="Q42" s="15" t="s">
        <v>567</v>
      </c>
    </row>
    <row r="43" customFormat="false" ht="46.25" hidden="false" customHeight="false" outlineLevel="0" collapsed="false">
      <c r="A43" s="15" t="s">
        <v>96</v>
      </c>
      <c r="B43" s="15" t="s">
        <v>97</v>
      </c>
      <c r="C43" s="15" t="s">
        <v>98</v>
      </c>
      <c r="D43" s="16" t="s">
        <v>73</v>
      </c>
      <c r="E43" s="15" t="s">
        <v>91</v>
      </c>
      <c r="F43" s="15" t="s">
        <v>99</v>
      </c>
      <c r="G43" s="15" t="s">
        <v>355</v>
      </c>
      <c r="H43" s="15" t="s">
        <v>568</v>
      </c>
      <c r="I43" s="15" t="s">
        <v>397</v>
      </c>
      <c r="J43" s="15" t="s">
        <v>358</v>
      </c>
      <c r="K43" s="15" t="s">
        <v>358</v>
      </c>
      <c r="L43" s="18" t="s">
        <v>67</v>
      </c>
      <c r="M43" s="15" t="s">
        <v>101</v>
      </c>
      <c r="N43" s="15" t="s">
        <v>95</v>
      </c>
      <c r="O43" s="15" t="s">
        <v>569</v>
      </c>
      <c r="P43" s="15" t="s">
        <v>100</v>
      </c>
      <c r="Q43" s="15" t="s">
        <v>570</v>
      </c>
    </row>
    <row r="44" customFormat="false" ht="68.65" hidden="false" customHeight="false" outlineLevel="0" collapsed="false">
      <c r="A44" s="15" t="s">
        <v>96</v>
      </c>
      <c r="B44" s="15" t="s">
        <v>97</v>
      </c>
      <c r="C44" s="15" t="s">
        <v>98</v>
      </c>
      <c r="D44" s="19" t="s">
        <v>74</v>
      </c>
      <c r="E44" s="15" t="s">
        <v>192</v>
      </c>
      <c r="F44" s="15" t="s">
        <v>571</v>
      </c>
      <c r="G44" s="15" t="s">
        <v>572</v>
      </c>
      <c r="H44" s="15" t="s">
        <v>573</v>
      </c>
      <c r="I44" s="15" t="s">
        <v>574</v>
      </c>
      <c r="J44" s="15" t="s">
        <v>358</v>
      </c>
      <c r="K44" s="15" t="s">
        <v>358</v>
      </c>
      <c r="L44" s="18" t="s">
        <v>67</v>
      </c>
      <c r="M44" s="15" t="s">
        <v>575</v>
      </c>
      <c r="N44" s="15" t="s">
        <v>576</v>
      </c>
      <c r="O44" s="15" t="s">
        <v>569</v>
      </c>
      <c r="P44" s="15" t="s">
        <v>358</v>
      </c>
      <c r="Q44" s="15" t="s">
        <v>577</v>
      </c>
    </row>
    <row r="45" customFormat="false" ht="79.85" hidden="false" customHeight="false" outlineLevel="0" collapsed="false">
      <c r="A45" s="15" t="s">
        <v>96</v>
      </c>
      <c r="B45" s="15" t="s">
        <v>97</v>
      </c>
      <c r="C45" s="15" t="s">
        <v>98</v>
      </c>
      <c r="D45" s="20" t="s">
        <v>75</v>
      </c>
      <c r="E45" s="15" t="s">
        <v>371</v>
      </c>
      <c r="F45" s="15" t="s">
        <v>578</v>
      </c>
      <c r="G45" s="15" t="s">
        <v>579</v>
      </c>
      <c r="H45" s="15" t="s">
        <v>580</v>
      </c>
      <c r="I45" s="15" t="s">
        <v>574</v>
      </c>
      <c r="J45" s="15" t="s">
        <v>358</v>
      </c>
      <c r="K45" s="15" t="s">
        <v>358</v>
      </c>
      <c r="L45" s="18" t="s">
        <v>67</v>
      </c>
      <c r="M45" s="15" t="s">
        <v>581</v>
      </c>
      <c r="N45" s="15" t="s">
        <v>576</v>
      </c>
      <c r="O45" s="15" t="s">
        <v>569</v>
      </c>
      <c r="P45" s="15" t="s">
        <v>358</v>
      </c>
      <c r="Q45" s="15" t="s">
        <v>582</v>
      </c>
    </row>
    <row r="46" customFormat="false" ht="35.05" hidden="false" customHeight="false" outlineLevel="0" collapsed="false">
      <c r="A46" s="15" t="s">
        <v>583</v>
      </c>
      <c r="B46" s="15" t="s">
        <v>584</v>
      </c>
      <c r="C46" s="15" t="s">
        <v>98</v>
      </c>
      <c r="D46" s="16" t="s">
        <v>73</v>
      </c>
      <c r="E46" s="15" t="s">
        <v>91</v>
      </c>
      <c r="F46" s="15" t="s">
        <v>585</v>
      </c>
      <c r="G46" s="15" t="s">
        <v>355</v>
      </c>
      <c r="H46" s="15" t="s">
        <v>586</v>
      </c>
      <c r="I46" s="15" t="s">
        <v>358</v>
      </c>
      <c r="J46" s="15" t="s">
        <v>587</v>
      </c>
      <c r="K46" s="15" t="s">
        <v>358</v>
      </c>
      <c r="L46" s="22" t="s">
        <v>68</v>
      </c>
      <c r="M46" s="15" t="s">
        <v>588</v>
      </c>
      <c r="N46" s="15" t="s">
        <v>589</v>
      </c>
      <c r="O46" s="15" t="s">
        <v>590</v>
      </c>
      <c r="P46" s="15" t="s">
        <v>105</v>
      </c>
      <c r="Q46" s="15" t="s">
        <v>591</v>
      </c>
    </row>
    <row r="47" customFormat="false" ht="68.65" hidden="false" customHeight="false" outlineLevel="0" collapsed="false">
      <c r="A47" s="15" t="s">
        <v>583</v>
      </c>
      <c r="B47" s="15" t="s">
        <v>584</v>
      </c>
      <c r="C47" s="15" t="s">
        <v>98</v>
      </c>
      <c r="D47" s="19" t="s">
        <v>74</v>
      </c>
      <c r="E47" s="15" t="s">
        <v>192</v>
      </c>
      <c r="F47" s="15" t="s">
        <v>592</v>
      </c>
      <c r="G47" s="15" t="s">
        <v>593</v>
      </c>
      <c r="H47" s="15" t="s">
        <v>586</v>
      </c>
      <c r="I47" s="15" t="s">
        <v>594</v>
      </c>
      <c r="J47" s="15" t="s">
        <v>595</v>
      </c>
      <c r="K47" s="15" t="s">
        <v>358</v>
      </c>
      <c r="L47" s="22" t="s">
        <v>68</v>
      </c>
      <c r="M47" s="15" t="s">
        <v>596</v>
      </c>
      <c r="N47" s="15" t="s">
        <v>597</v>
      </c>
      <c r="O47" s="15" t="s">
        <v>590</v>
      </c>
      <c r="P47" s="15" t="s">
        <v>358</v>
      </c>
      <c r="Q47" s="15" t="s">
        <v>598</v>
      </c>
    </row>
    <row r="48" customFormat="false" ht="68.65" hidden="false" customHeight="false" outlineLevel="0" collapsed="false">
      <c r="A48" s="15" t="s">
        <v>583</v>
      </c>
      <c r="B48" s="15" t="s">
        <v>584</v>
      </c>
      <c r="C48" s="15" t="s">
        <v>98</v>
      </c>
      <c r="D48" s="20" t="s">
        <v>75</v>
      </c>
      <c r="E48" s="15" t="s">
        <v>371</v>
      </c>
      <c r="F48" s="15" t="s">
        <v>599</v>
      </c>
      <c r="G48" s="15" t="s">
        <v>600</v>
      </c>
      <c r="H48" s="15" t="s">
        <v>601</v>
      </c>
      <c r="I48" s="15" t="s">
        <v>594</v>
      </c>
      <c r="J48" s="15" t="s">
        <v>595</v>
      </c>
      <c r="K48" s="15" t="s">
        <v>358</v>
      </c>
      <c r="L48" s="22" t="s">
        <v>68</v>
      </c>
      <c r="M48" s="15" t="s">
        <v>602</v>
      </c>
      <c r="N48" s="15" t="s">
        <v>597</v>
      </c>
      <c r="O48" s="15" t="s">
        <v>590</v>
      </c>
      <c r="P48" s="15" t="s">
        <v>358</v>
      </c>
      <c r="Q48" s="15" t="s">
        <v>603</v>
      </c>
    </row>
    <row r="49" customFormat="false" ht="35.05" hidden="false" customHeight="false" outlineLevel="0" collapsed="false">
      <c r="A49" s="15" t="s">
        <v>102</v>
      </c>
      <c r="B49" s="15" t="s">
        <v>103</v>
      </c>
      <c r="C49" s="15" t="s">
        <v>98</v>
      </c>
      <c r="D49" s="16" t="s">
        <v>73</v>
      </c>
      <c r="E49" s="15" t="s">
        <v>91</v>
      </c>
      <c r="F49" s="15" t="s">
        <v>104</v>
      </c>
      <c r="G49" s="15" t="s">
        <v>355</v>
      </c>
      <c r="H49" s="15" t="s">
        <v>604</v>
      </c>
      <c r="I49" s="15" t="s">
        <v>358</v>
      </c>
      <c r="J49" s="15" t="s">
        <v>358</v>
      </c>
      <c r="K49" s="15" t="s">
        <v>358</v>
      </c>
      <c r="L49" s="21" t="s">
        <v>66</v>
      </c>
      <c r="M49" s="15" t="s">
        <v>106</v>
      </c>
      <c r="N49" s="15" t="s">
        <v>107</v>
      </c>
      <c r="O49" s="15" t="s">
        <v>605</v>
      </c>
      <c r="P49" s="15" t="s">
        <v>105</v>
      </c>
      <c r="Q49" s="15" t="s">
        <v>606</v>
      </c>
    </row>
    <row r="50" customFormat="false" ht="46.25" hidden="false" customHeight="false" outlineLevel="0" collapsed="false">
      <c r="A50" s="15" t="s">
        <v>102</v>
      </c>
      <c r="B50" s="15" t="s">
        <v>103</v>
      </c>
      <c r="C50" s="15" t="s">
        <v>98</v>
      </c>
      <c r="D50" s="19" t="s">
        <v>74</v>
      </c>
      <c r="E50" s="15" t="s">
        <v>192</v>
      </c>
      <c r="F50" s="15" t="s">
        <v>607</v>
      </c>
      <c r="G50" s="15" t="s">
        <v>608</v>
      </c>
      <c r="H50" s="15" t="s">
        <v>609</v>
      </c>
      <c r="I50" s="15" t="s">
        <v>358</v>
      </c>
      <c r="J50" s="15" t="s">
        <v>358</v>
      </c>
      <c r="K50" s="15" t="s">
        <v>610</v>
      </c>
      <c r="L50" s="23" t="s">
        <v>69</v>
      </c>
      <c r="M50" s="15" t="s">
        <v>611</v>
      </c>
      <c r="N50" s="15" t="s">
        <v>612</v>
      </c>
      <c r="O50" s="15" t="s">
        <v>605</v>
      </c>
      <c r="P50" s="15" t="s">
        <v>358</v>
      </c>
      <c r="Q50" s="15" t="s">
        <v>613</v>
      </c>
    </row>
    <row r="51" customFormat="false" ht="57.45" hidden="false" customHeight="false" outlineLevel="0" collapsed="false">
      <c r="A51" s="15" t="s">
        <v>102</v>
      </c>
      <c r="B51" s="15" t="s">
        <v>103</v>
      </c>
      <c r="C51" s="15" t="s">
        <v>98</v>
      </c>
      <c r="D51" s="20" t="s">
        <v>75</v>
      </c>
      <c r="E51" s="15" t="s">
        <v>371</v>
      </c>
      <c r="F51" s="15" t="s">
        <v>614</v>
      </c>
      <c r="G51" s="15" t="s">
        <v>473</v>
      </c>
      <c r="H51" s="15" t="s">
        <v>609</v>
      </c>
      <c r="I51" s="15" t="s">
        <v>358</v>
      </c>
      <c r="J51" s="15" t="s">
        <v>474</v>
      </c>
      <c r="K51" s="15" t="s">
        <v>610</v>
      </c>
      <c r="L51" s="23" t="s">
        <v>69</v>
      </c>
      <c r="M51" s="15" t="s">
        <v>615</v>
      </c>
      <c r="N51" s="15" t="s">
        <v>616</v>
      </c>
      <c r="O51" s="15" t="s">
        <v>605</v>
      </c>
      <c r="P51" s="15" t="s">
        <v>358</v>
      </c>
      <c r="Q51" s="15" t="s">
        <v>617</v>
      </c>
    </row>
    <row r="52" customFormat="false" ht="23.85" hidden="false" customHeight="false" outlineLevel="0" collapsed="false">
      <c r="A52" s="15" t="s">
        <v>618</v>
      </c>
      <c r="B52" s="15" t="s">
        <v>619</v>
      </c>
      <c r="C52" s="15" t="s">
        <v>150</v>
      </c>
      <c r="D52" s="16" t="s">
        <v>73</v>
      </c>
      <c r="E52" s="15" t="s">
        <v>143</v>
      </c>
      <c r="F52" s="15" t="s">
        <v>620</v>
      </c>
      <c r="G52" s="15" t="s">
        <v>355</v>
      </c>
      <c r="H52" s="15" t="s">
        <v>621</v>
      </c>
      <c r="I52" s="15" t="s">
        <v>358</v>
      </c>
      <c r="J52" s="15" t="s">
        <v>358</v>
      </c>
      <c r="K52" s="15" t="s">
        <v>358</v>
      </c>
      <c r="L52" s="21" t="s">
        <v>66</v>
      </c>
      <c r="M52" s="15" t="s">
        <v>290</v>
      </c>
      <c r="N52" s="15" t="s">
        <v>107</v>
      </c>
      <c r="O52" s="15" t="s">
        <v>622</v>
      </c>
      <c r="P52" s="15" t="s">
        <v>623</v>
      </c>
      <c r="Q52" s="15" t="s">
        <v>624</v>
      </c>
    </row>
    <row r="53" customFormat="false" ht="35.05" hidden="false" customHeight="false" outlineLevel="0" collapsed="false">
      <c r="A53" s="15" t="s">
        <v>618</v>
      </c>
      <c r="B53" s="15" t="s">
        <v>619</v>
      </c>
      <c r="C53" s="15" t="s">
        <v>150</v>
      </c>
      <c r="D53" s="19" t="s">
        <v>74</v>
      </c>
      <c r="E53" s="15" t="s">
        <v>215</v>
      </c>
      <c r="F53" s="15" t="s">
        <v>625</v>
      </c>
      <c r="G53" s="15" t="s">
        <v>437</v>
      </c>
      <c r="H53" s="15" t="s">
        <v>626</v>
      </c>
      <c r="I53" s="15" t="s">
        <v>358</v>
      </c>
      <c r="J53" s="15" t="s">
        <v>358</v>
      </c>
      <c r="K53" s="15" t="s">
        <v>358</v>
      </c>
      <c r="L53" s="21" t="s">
        <v>66</v>
      </c>
      <c r="M53" s="15" t="s">
        <v>627</v>
      </c>
      <c r="N53" s="15" t="s">
        <v>107</v>
      </c>
      <c r="O53" s="15" t="s">
        <v>622</v>
      </c>
      <c r="P53" s="15" t="s">
        <v>358</v>
      </c>
      <c r="Q53" s="15" t="s">
        <v>628</v>
      </c>
    </row>
    <row r="54" customFormat="false" ht="57.45" hidden="false" customHeight="false" outlineLevel="0" collapsed="false">
      <c r="A54" s="15" t="s">
        <v>618</v>
      </c>
      <c r="B54" s="15" t="s">
        <v>619</v>
      </c>
      <c r="C54" s="15" t="s">
        <v>150</v>
      </c>
      <c r="D54" s="20" t="s">
        <v>75</v>
      </c>
      <c r="E54" s="15" t="s">
        <v>629</v>
      </c>
      <c r="F54" s="15" t="s">
        <v>630</v>
      </c>
      <c r="G54" s="15" t="s">
        <v>631</v>
      </c>
      <c r="H54" s="15" t="s">
        <v>626</v>
      </c>
      <c r="I54" s="15" t="s">
        <v>632</v>
      </c>
      <c r="J54" s="15" t="s">
        <v>474</v>
      </c>
      <c r="K54" s="15" t="s">
        <v>358</v>
      </c>
      <c r="L54" s="22" t="s">
        <v>68</v>
      </c>
      <c r="M54" s="15" t="s">
        <v>633</v>
      </c>
      <c r="N54" s="15" t="s">
        <v>634</v>
      </c>
      <c r="O54" s="15" t="s">
        <v>622</v>
      </c>
      <c r="P54" s="15" t="s">
        <v>358</v>
      </c>
      <c r="Q54" s="15" t="s">
        <v>635</v>
      </c>
    </row>
    <row r="55" customFormat="false" ht="23.85" hidden="false" customHeight="false" outlineLevel="0" collapsed="false">
      <c r="A55" s="15" t="s">
        <v>148</v>
      </c>
      <c r="B55" s="15" t="s">
        <v>149</v>
      </c>
      <c r="C55" s="15" t="s">
        <v>150</v>
      </c>
      <c r="D55" s="16" t="s">
        <v>73</v>
      </c>
      <c r="E55" s="15" t="s">
        <v>143</v>
      </c>
      <c r="F55" s="15" t="s">
        <v>151</v>
      </c>
      <c r="G55" s="15" t="s">
        <v>355</v>
      </c>
      <c r="H55" s="15" t="s">
        <v>636</v>
      </c>
      <c r="I55" s="15" t="s">
        <v>358</v>
      </c>
      <c r="J55" s="15" t="s">
        <v>358</v>
      </c>
      <c r="K55" s="15" t="s">
        <v>358</v>
      </c>
      <c r="L55" s="21" t="s">
        <v>66</v>
      </c>
      <c r="M55" s="15" t="s">
        <v>153</v>
      </c>
      <c r="N55" s="15" t="s">
        <v>107</v>
      </c>
      <c r="O55" s="15" t="s">
        <v>637</v>
      </c>
      <c r="P55" s="15" t="s">
        <v>152</v>
      </c>
      <c r="Q55" s="15" t="s">
        <v>638</v>
      </c>
    </row>
    <row r="56" customFormat="false" ht="57.45" hidden="false" customHeight="false" outlineLevel="0" collapsed="false">
      <c r="A56" s="15" t="s">
        <v>148</v>
      </c>
      <c r="B56" s="15" t="s">
        <v>149</v>
      </c>
      <c r="C56" s="15" t="s">
        <v>150</v>
      </c>
      <c r="D56" s="19" t="s">
        <v>74</v>
      </c>
      <c r="E56" s="15" t="s">
        <v>215</v>
      </c>
      <c r="F56" s="15" t="s">
        <v>639</v>
      </c>
      <c r="G56" s="15" t="s">
        <v>640</v>
      </c>
      <c r="H56" s="15" t="s">
        <v>636</v>
      </c>
      <c r="I56" s="15" t="s">
        <v>641</v>
      </c>
      <c r="J56" s="15" t="s">
        <v>474</v>
      </c>
      <c r="K56" s="15" t="s">
        <v>358</v>
      </c>
      <c r="L56" s="22" t="s">
        <v>68</v>
      </c>
      <c r="M56" s="15" t="s">
        <v>642</v>
      </c>
      <c r="N56" s="15" t="s">
        <v>643</v>
      </c>
      <c r="O56" s="15" t="s">
        <v>637</v>
      </c>
      <c r="P56" s="15" t="s">
        <v>358</v>
      </c>
      <c r="Q56" s="15" t="s">
        <v>644</v>
      </c>
    </row>
    <row r="57" customFormat="false" ht="68.65" hidden="false" customHeight="false" outlineLevel="0" collapsed="false">
      <c r="A57" s="15" t="s">
        <v>148</v>
      </c>
      <c r="B57" s="15" t="s">
        <v>149</v>
      </c>
      <c r="C57" s="15" t="s">
        <v>150</v>
      </c>
      <c r="D57" s="20" t="s">
        <v>75</v>
      </c>
      <c r="E57" s="15" t="s">
        <v>629</v>
      </c>
      <c r="F57" s="15" t="s">
        <v>645</v>
      </c>
      <c r="G57" s="15" t="s">
        <v>646</v>
      </c>
      <c r="H57" s="15" t="s">
        <v>647</v>
      </c>
      <c r="I57" s="15" t="s">
        <v>641</v>
      </c>
      <c r="J57" s="15" t="s">
        <v>474</v>
      </c>
      <c r="K57" s="15" t="s">
        <v>358</v>
      </c>
      <c r="L57" s="22" t="s">
        <v>68</v>
      </c>
      <c r="M57" s="15" t="s">
        <v>648</v>
      </c>
      <c r="N57" s="15" t="s">
        <v>643</v>
      </c>
      <c r="O57" s="15" t="s">
        <v>637</v>
      </c>
      <c r="P57" s="15" t="s">
        <v>358</v>
      </c>
      <c r="Q57" s="15" t="s">
        <v>649</v>
      </c>
    </row>
    <row r="58" customFormat="false" ht="35.05" hidden="false" customHeight="false" outlineLevel="0" collapsed="false">
      <c r="A58" s="15" t="s">
        <v>254</v>
      </c>
      <c r="B58" s="15" t="s">
        <v>255</v>
      </c>
      <c r="C58" s="15" t="s">
        <v>256</v>
      </c>
      <c r="D58" s="16" t="s">
        <v>73</v>
      </c>
      <c r="E58" s="15" t="s">
        <v>250</v>
      </c>
      <c r="F58" s="15" t="s">
        <v>257</v>
      </c>
      <c r="G58" s="15" t="s">
        <v>355</v>
      </c>
      <c r="H58" s="15" t="s">
        <v>650</v>
      </c>
      <c r="I58" s="15" t="s">
        <v>358</v>
      </c>
      <c r="J58" s="15" t="s">
        <v>358</v>
      </c>
      <c r="K58" s="15" t="s">
        <v>358</v>
      </c>
      <c r="L58" s="21" t="s">
        <v>66</v>
      </c>
      <c r="M58" s="15" t="s">
        <v>259</v>
      </c>
      <c r="N58" s="15" t="s">
        <v>107</v>
      </c>
      <c r="O58" s="15" t="s">
        <v>651</v>
      </c>
      <c r="P58" s="15" t="s">
        <v>258</v>
      </c>
      <c r="Q58" s="15" t="s">
        <v>652</v>
      </c>
    </row>
    <row r="59" customFormat="false" ht="57.45" hidden="false" customHeight="false" outlineLevel="0" collapsed="false">
      <c r="A59" s="15" t="s">
        <v>254</v>
      </c>
      <c r="B59" s="15" t="s">
        <v>255</v>
      </c>
      <c r="C59" s="15" t="s">
        <v>256</v>
      </c>
      <c r="D59" s="19" t="s">
        <v>74</v>
      </c>
      <c r="E59" s="15" t="s">
        <v>250</v>
      </c>
      <c r="F59" s="15" t="s">
        <v>653</v>
      </c>
      <c r="G59" s="15" t="s">
        <v>654</v>
      </c>
      <c r="H59" s="15" t="s">
        <v>655</v>
      </c>
      <c r="I59" s="15" t="s">
        <v>358</v>
      </c>
      <c r="J59" s="15" t="s">
        <v>358</v>
      </c>
      <c r="K59" s="15" t="s">
        <v>358</v>
      </c>
      <c r="L59" s="21" t="s">
        <v>66</v>
      </c>
      <c r="M59" s="15" t="s">
        <v>656</v>
      </c>
      <c r="N59" s="15" t="s">
        <v>107</v>
      </c>
      <c r="O59" s="15" t="s">
        <v>651</v>
      </c>
      <c r="P59" s="15" t="s">
        <v>358</v>
      </c>
      <c r="Q59" s="15" t="s">
        <v>657</v>
      </c>
    </row>
    <row r="60" customFormat="false" ht="68.65" hidden="false" customHeight="false" outlineLevel="0" collapsed="false">
      <c r="A60" s="15" t="s">
        <v>254</v>
      </c>
      <c r="B60" s="15" t="s">
        <v>255</v>
      </c>
      <c r="C60" s="15" t="s">
        <v>256</v>
      </c>
      <c r="D60" s="20" t="s">
        <v>75</v>
      </c>
      <c r="E60" s="15" t="s">
        <v>250</v>
      </c>
      <c r="F60" s="15" t="s">
        <v>658</v>
      </c>
      <c r="G60" s="15" t="s">
        <v>659</v>
      </c>
      <c r="H60" s="15" t="s">
        <v>660</v>
      </c>
      <c r="I60" s="15" t="s">
        <v>358</v>
      </c>
      <c r="J60" s="15" t="s">
        <v>474</v>
      </c>
      <c r="K60" s="15" t="s">
        <v>358</v>
      </c>
      <c r="L60" s="22" t="s">
        <v>68</v>
      </c>
      <c r="M60" s="15" t="s">
        <v>661</v>
      </c>
      <c r="N60" s="15" t="s">
        <v>476</v>
      </c>
      <c r="O60" s="15" t="s">
        <v>651</v>
      </c>
      <c r="P60" s="15" t="s">
        <v>358</v>
      </c>
      <c r="Q60" s="15" t="s">
        <v>662</v>
      </c>
    </row>
    <row r="61" customFormat="false" ht="35.05" hidden="false" customHeight="false" outlineLevel="0" collapsed="false">
      <c r="A61" s="15" t="s">
        <v>663</v>
      </c>
      <c r="B61" s="15" t="s">
        <v>664</v>
      </c>
      <c r="C61" s="15" t="s">
        <v>256</v>
      </c>
      <c r="D61" s="16" t="s">
        <v>73</v>
      </c>
      <c r="E61" s="15" t="s">
        <v>250</v>
      </c>
      <c r="F61" s="15" t="s">
        <v>665</v>
      </c>
      <c r="G61" s="15" t="s">
        <v>355</v>
      </c>
      <c r="H61" s="15" t="s">
        <v>586</v>
      </c>
      <c r="I61" s="15" t="s">
        <v>358</v>
      </c>
      <c r="J61" s="15" t="s">
        <v>474</v>
      </c>
      <c r="K61" s="15" t="s">
        <v>358</v>
      </c>
      <c r="L61" s="22" t="s">
        <v>68</v>
      </c>
      <c r="M61" s="15" t="s">
        <v>666</v>
      </c>
      <c r="N61" s="15" t="s">
        <v>476</v>
      </c>
      <c r="O61" s="15" t="s">
        <v>667</v>
      </c>
      <c r="P61" s="15" t="s">
        <v>105</v>
      </c>
      <c r="Q61" s="15" t="s">
        <v>668</v>
      </c>
    </row>
    <row r="62" customFormat="false" ht="57.45" hidden="false" customHeight="false" outlineLevel="0" collapsed="false">
      <c r="A62" s="15" t="s">
        <v>663</v>
      </c>
      <c r="B62" s="15" t="s">
        <v>664</v>
      </c>
      <c r="C62" s="15" t="s">
        <v>256</v>
      </c>
      <c r="D62" s="19" t="s">
        <v>74</v>
      </c>
      <c r="E62" s="15" t="s">
        <v>250</v>
      </c>
      <c r="F62" s="15" t="s">
        <v>669</v>
      </c>
      <c r="G62" s="15" t="s">
        <v>670</v>
      </c>
      <c r="H62" s="15" t="s">
        <v>671</v>
      </c>
      <c r="I62" s="15" t="s">
        <v>559</v>
      </c>
      <c r="J62" s="15" t="s">
        <v>672</v>
      </c>
      <c r="K62" s="15" t="s">
        <v>358</v>
      </c>
      <c r="L62" s="22" t="s">
        <v>68</v>
      </c>
      <c r="M62" s="15" t="s">
        <v>673</v>
      </c>
      <c r="N62" s="15" t="s">
        <v>674</v>
      </c>
      <c r="O62" s="15" t="s">
        <v>667</v>
      </c>
      <c r="P62" s="15" t="s">
        <v>358</v>
      </c>
      <c r="Q62" s="15" t="s">
        <v>675</v>
      </c>
    </row>
    <row r="63" customFormat="false" ht="57.45" hidden="false" customHeight="false" outlineLevel="0" collapsed="false">
      <c r="A63" s="15" t="s">
        <v>663</v>
      </c>
      <c r="B63" s="15" t="s">
        <v>664</v>
      </c>
      <c r="C63" s="15" t="s">
        <v>256</v>
      </c>
      <c r="D63" s="20" t="s">
        <v>75</v>
      </c>
      <c r="E63" s="15" t="s">
        <v>250</v>
      </c>
      <c r="F63" s="15" t="s">
        <v>676</v>
      </c>
      <c r="G63" s="15" t="s">
        <v>677</v>
      </c>
      <c r="H63" s="15" t="s">
        <v>671</v>
      </c>
      <c r="I63" s="15" t="s">
        <v>559</v>
      </c>
      <c r="J63" s="15" t="s">
        <v>678</v>
      </c>
      <c r="K63" s="15" t="s">
        <v>358</v>
      </c>
      <c r="L63" s="22" t="s">
        <v>68</v>
      </c>
      <c r="M63" s="15" t="s">
        <v>679</v>
      </c>
      <c r="N63" s="15" t="s">
        <v>680</v>
      </c>
      <c r="O63" s="15" t="s">
        <v>667</v>
      </c>
      <c r="P63" s="15" t="s">
        <v>358</v>
      </c>
      <c r="Q63" s="15" t="s">
        <v>681</v>
      </c>
    </row>
    <row r="64" customFormat="false" ht="35.05" hidden="false" customHeight="false" outlineLevel="0" collapsed="false">
      <c r="A64" s="15" t="s">
        <v>261</v>
      </c>
      <c r="B64" s="15" t="s">
        <v>262</v>
      </c>
      <c r="C64" s="15" t="s">
        <v>263</v>
      </c>
      <c r="D64" s="16" t="s">
        <v>73</v>
      </c>
      <c r="E64" s="15" t="s">
        <v>250</v>
      </c>
      <c r="F64" s="15" t="s">
        <v>264</v>
      </c>
      <c r="G64" s="15" t="s">
        <v>355</v>
      </c>
      <c r="H64" s="15" t="s">
        <v>682</v>
      </c>
      <c r="I64" s="15" t="s">
        <v>358</v>
      </c>
      <c r="J64" s="15" t="s">
        <v>358</v>
      </c>
      <c r="K64" s="15" t="s">
        <v>358</v>
      </c>
      <c r="L64" s="21" t="s">
        <v>66</v>
      </c>
      <c r="M64" s="15" t="s">
        <v>265</v>
      </c>
      <c r="N64" s="15" t="s">
        <v>107</v>
      </c>
      <c r="O64" s="15" t="s">
        <v>683</v>
      </c>
      <c r="P64" s="15" t="s">
        <v>105</v>
      </c>
      <c r="Q64" s="15" t="s">
        <v>684</v>
      </c>
    </row>
    <row r="65" customFormat="false" ht="46.25" hidden="false" customHeight="false" outlineLevel="0" collapsed="false">
      <c r="A65" s="15" t="s">
        <v>261</v>
      </c>
      <c r="B65" s="15" t="s">
        <v>262</v>
      </c>
      <c r="C65" s="15" t="s">
        <v>263</v>
      </c>
      <c r="D65" s="19" t="s">
        <v>74</v>
      </c>
      <c r="E65" s="15" t="s">
        <v>250</v>
      </c>
      <c r="F65" s="15" t="s">
        <v>685</v>
      </c>
      <c r="G65" s="15" t="s">
        <v>686</v>
      </c>
      <c r="H65" s="15" t="s">
        <v>687</v>
      </c>
      <c r="I65" s="15" t="s">
        <v>358</v>
      </c>
      <c r="J65" s="15" t="s">
        <v>587</v>
      </c>
      <c r="K65" s="15" t="s">
        <v>358</v>
      </c>
      <c r="L65" s="22" t="s">
        <v>68</v>
      </c>
      <c r="M65" s="15" t="s">
        <v>688</v>
      </c>
      <c r="N65" s="15" t="s">
        <v>589</v>
      </c>
      <c r="O65" s="15" t="s">
        <v>683</v>
      </c>
      <c r="P65" s="15" t="s">
        <v>358</v>
      </c>
      <c r="Q65" s="15" t="s">
        <v>689</v>
      </c>
    </row>
    <row r="66" customFormat="false" ht="68.65" hidden="false" customHeight="false" outlineLevel="0" collapsed="false">
      <c r="A66" s="15" t="s">
        <v>261</v>
      </c>
      <c r="B66" s="15" t="s">
        <v>262</v>
      </c>
      <c r="C66" s="15" t="s">
        <v>263</v>
      </c>
      <c r="D66" s="20" t="s">
        <v>75</v>
      </c>
      <c r="E66" s="15" t="s">
        <v>250</v>
      </c>
      <c r="F66" s="15" t="s">
        <v>690</v>
      </c>
      <c r="G66" s="15" t="s">
        <v>691</v>
      </c>
      <c r="H66" s="15" t="s">
        <v>692</v>
      </c>
      <c r="I66" s="15" t="s">
        <v>358</v>
      </c>
      <c r="J66" s="15" t="s">
        <v>693</v>
      </c>
      <c r="K66" s="15" t="s">
        <v>358</v>
      </c>
      <c r="L66" s="22" t="s">
        <v>68</v>
      </c>
      <c r="M66" s="15" t="s">
        <v>694</v>
      </c>
      <c r="N66" s="15" t="s">
        <v>695</v>
      </c>
      <c r="O66" s="15" t="s">
        <v>683</v>
      </c>
      <c r="P66" s="15" t="s">
        <v>358</v>
      </c>
      <c r="Q66" s="15" t="s">
        <v>696</v>
      </c>
    </row>
    <row r="67" customFormat="false" ht="23.85" hidden="false" customHeight="false" outlineLevel="0" collapsed="false">
      <c r="A67" s="15" t="s">
        <v>266</v>
      </c>
      <c r="B67" s="15" t="s">
        <v>267</v>
      </c>
      <c r="C67" s="15" t="s">
        <v>263</v>
      </c>
      <c r="D67" s="16" t="s">
        <v>73</v>
      </c>
      <c r="E67" s="15" t="s">
        <v>250</v>
      </c>
      <c r="F67" s="15" t="s">
        <v>268</v>
      </c>
      <c r="G67" s="15" t="s">
        <v>355</v>
      </c>
      <c r="H67" s="15" t="s">
        <v>697</v>
      </c>
      <c r="I67" s="15" t="s">
        <v>358</v>
      </c>
      <c r="J67" s="15" t="s">
        <v>358</v>
      </c>
      <c r="K67" s="15" t="s">
        <v>358</v>
      </c>
      <c r="L67" s="21" t="s">
        <v>66</v>
      </c>
      <c r="M67" s="15" t="s">
        <v>269</v>
      </c>
      <c r="N67" s="15" t="s">
        <v>107</v>
      </c>
      <c r="O67" s="15" t="s">
        <v>698</v>
      </c>
      <c r="P67" s="15" t="s">
        <v>105</v>
      </c>
      <c r="Q67" s="15" t="s">
        <v>699</v>
      </c>
    </row>
    <row r="68" customFormat="false" ht="35.05" hidden="false" customHeight="false" outlineLevel="0" collapsed="false">
      <c r="A68" s="15" t="s">
        <v>266</v>
      </c>
      <c r="B68" s="15" t="s">
        <v>267</v>
      </c>
      <c r="C68" s="15" t="s">
        <v>263</v>
      </c>
      <c r="D68" s="19" t="s">
        <v>74</v>
      </c>
      <c r="E68" s="15" t="s">
        <v>250</v>
      </c>
      <c r="F68" s="15" t="s">
        <v>700</v>
      </c>
      <c r="G68" s="15" t="s">
        <v>473</v>
      </c>
      <c r="H68" s="15" t="s">
        <v>697</v>
      </c>
      <c r="I68" s="15" t="s">
        <v>358</v>
      </c>
      <c r="J68" s="15" t="s">
        <v>474</v>
      </c>
      <c r="K68" s="15" t="s">
        <v>358</v>
      </c>
      <c r="L68" s="22" t="s">
        <v>68</v>
      </c>
      <c r="M68" s="15" t="s">
        <v>701</v>
      </c>
      <c r="N68" s="15" t="s">
        <v>476</v>
      </c>
      <c r="O68" s="15" t="s">
        <v>698</v>
      </c>
      <c r="P68" s="15" t="s">
        <v>358</v>
      </c>
      <c r="Q68" s="15" t="s">
        <v>702</v>
      </c>
    </row>
    <row r="69" customFormat="false" ht="46.25" hidden="false" customHeight="false" outlineLevel="0" collapsed="false">
      <c r="A69" s="15" t="s">
        <v>266</v>
      </c>
      <c r="B69" s="15" t="s">
        <v>267</v>
      </c>
      <c r="C69" s="15" t="s">
        <v>263</v>
      </c>
      <c r="D69" s="20" t="s">
        <v>75</v>
      </c>
      <c r="E69" s="15" t="s">
        <v>250</v>
      </c>
      <c r="F69" s="15" t="s">
        <v>703</v>
      </c>
      <c r="G69" s="15" t="s">
        <v>529</v>
      </c>
      <c r="H69" s="15" t="s">
        <v>697</v>
      </c>
      <c r="I69" s="15" t="s">
        <v>358</v>
      </c>
      <c r="J69" s="15" t="s">
        <v>474</v>
      </c>
      <c r="K69" s="15" t="s">
        <v>530</v>
      </c>
      <c r="L69" s="23" t="s">
        <v>69</v>
      </c>
      <c r="M69" s="15" t="s">
        <v>704</v>
      </c>
      <c r="N69" s="15" t="s">
        <v>532</v>
      </c>
      <c r="O69" s="15" t="s">
        <v>698</v>
      </c>
      <c r="P69" s="15" t="s">
        <v>358</v>
      </c>
      <c r="Q69" s="15" t="s">
        <v>705</v>
      </c>
    </row>
    <row r="70" customFormat="false" ht="35.05" hidden="false" customHeight="false" outlineLevel="0" collapsed="false">
      <c r="A70" s="15" t="s">
        <v>706</v>
      </c>
      <c r="B70" s="15" t="s">
        <v>707</v>
      </c>
      <c r="C70" s="15" t="s">
        <v>111</v>
      </c>
      <c r="D70" s="16" t="s">
        <v>73</v>
      </c>
      <c r="E70" s="15" t="s">
        <v>91</v>
      </c>
      <c r="F70" s="15" t="s">
        <v>708</v>
      </c>
      <c r="G70" s="15" t="s">
        <v>355</v>
      </c>
      <c r="H70" s="15" t="s">
        <v>709</v>
      </c>
      <c r="I70" s="15" t="s">
        <v>358</v>
      </c>
      <c r="J70" s="15" t="s">
        <v>358</v>
      </c>
      <c r="K70" s="15" t="s">
        <v>358</v>
      </c>
      <c r="L70" s="21" t="s">
        <v>66</v>
      </c>
      <c r="M70" s="15" t="s">
        <v>710</v>
      </c>
      <c r="N70" s="15" t="s">
        <v>107</v>
      </c>
      <c r="O70" s="15" t="s">
        <v>711</v>
      </c>
      <c r="P70" s="15" t="s">
        <v>712</v>
      </c>
      <c r="Q70" s="15" t="s">
        <v>713</v>
      </c>
    </row>
    <row r="71" customFormat="false" ht="46.25" hidden="false" customHeight="false" outlineLevel="0" collapsed="false">
      <c r="A71" s="15" t="s">
        <v>706</v>
      </c>
      <c r="B71" s="15" t="s">
        <v>707</v>
      </c>
      <c r="C71" s="15" t="s">
        <v>111</v>
      </c>
      <c r="D71" s="19" t="s">
        <v>74</v>
      </c>
      <c r="E71" s="15" t="s">
        <v>143</v>
      </c>
      <c r="F71" s="15" t="s">
        <v>714</v>
      </c>
      <c r="G71" s="15" t="s">
        <v>715</v>
      </c>
      <c r="H71" s="15" t="s">
        <v>716</v>
      </c>
      <c r="I71" s="15" t="s">
        <v>397</v>
      </c>
      <c r="J71" s="15" t="s">
        <v>358</v>
      </c>
      <c r="K71" s="15" t="s">
        <v>358</v>
      </c>
      <c r="L71" s="18" t="s">
        <v>67</v>
      </c>
      <c r="M71" s="15" t="s">
        <v>717</v>
      </c>
      <c r="N71" s="15" t="s">
        <v>95</v>
      </c>
      <c r="O71" s="15" t="s">
        <v>711</v>
      </c>
      <c r="P71" s="15" t="s">
        <v>358</v>
      </c>
      <c r="Q71" s="15" t="s">
        <v>718</v>
      </c>
    </row>
    <row r="72" customFormat="false" ht="57.45" hidden="false" customHeight="false" outlineLevel="0" collapsed="false">
      <c r="A72" s="15" t="s">
        <v>706</v>
      </c>
      <c r="B72" s="15" t="s">
        <v>707</v>
      </c>
      <c r="C72" s="15" t="s">
        <v>111</v>
      </c>
      <c r="D72" s="20" t="s">
        <v>75</v>
      </c>
      <c r="E72" s="15" t="s">
        <v>371</v>
      </c>
      <c r="F72" s="15" t="s">
        <v>719</v>
      </c>
      <c r="G72" s="15" t="s">
        <v>720</v>
      </c>
      <c r="H72" s="15" t="s">
        <v>721</v>
      </c>
      <c r="I72" s="15" t="s">
        <v>397</v>
      </c>
      <c r="J72" s="15" t="s">
        <v>358</v>
      </c>
      <c r="K72" s="15" t="s">
        <v>358</v>
      </c>
      <c r="L72" s="18" t="s">
        <v>67</v>
      </c>
      <c r="M72" s="15" t="s">
        <v>722</v>
      </c>
      <c r="N72" s="15" t="s">
        <v>95</v>
      </c>
      <c r="O72" s="15" t="s">
        <v>711</v>
      </c>
      <c r="P72" s="15" t="s">
        <v>358</v>
      </c>
      <c r="Q72" s="15" t="s">
        <v>723</v>
      </c>
    </row>
    <row r="73" customFormat="false" ht="35.05" hidden="false" customHeight="false" outlineLevel="0" collapsed="false">
      <c r="A73" s="15" t="s">
        <v>724</v>
      </c>
      <c r="B73" s="15" t="s">
        <v>725</v>
      </c>
      <c r="C73" s="15" t="s">
        <v>111</v>
      </c>
      <c r="D73" s="16" t="s">
        <v>73</v>
      </c>
      <c r="E73" s="15" t="s">
        <v>91</v>
      </c>
      <c r="F73" s="15" t="s">
        <v>726</v>
      </c>
      <c r="G73" s="15" t="s">
        <v>355</v>
      </c>
      <c r="H73" s="15" t="s">
        <v>727</v>
      </c>
      <c r="I73" s="15" t="s">
        <v>358</v>
      </c>
      <c r="J73" s="15" t="s">
        <v>358</v>
      </c>
      <c r="K73" s="15" t="s">
        <v>358</v>
      </c>
      <c r="L73" s="21" t="s">
        <v>66</v>
      </c>
      <c r="M73" s="15" t="s">
        <v>728</v>
      </c>
      <c r="N73" s="15" t="s">
        <v>107</v>
      </c>
      <c r="O73" s="15" t="s">
        <v>729</v>
      </c>
      <c r="P73" s="15" t="s">
        <v>730</v>
      </c>
      <c r="Q73" s="15" t="s">
        <v>731</v>
      </c>
    </row>
    <row r="74" customFormat="false" ht="46.25" hidden="false" customHeight="false" outlineLevel="0" collapsed="false">
      <c r="A74" s="15" t="s">
        <v>724</v>
      </c>
      <c r="B74" s="15" t="s">
        <v>725</v>
      </c>
      <c r="C74" s="15" t="s">
        <v>111</v>
      </c>
      <c r="D74" s="19" t="s">
        <v>74</v>
      </c>
      <c r="E74" s="15" t="s">
        <v>143</v>
      </c>
      <c r="F74" s="15" t="s">
        <v>732</v>
      </c>
      <c r="G74" s="15" t="s">
        <v>733</v>
      </c>
      <c r="H74" s="15" t="s">
        <v>734</v>
      </c>
      <c r="I74" s="15" t="s">
        <v>735</v>
      </c>
      <c r="J74" s="15" t="s">
        <v>358</v>
      </c>
      <c r="K74" s="15" t="s">
        <v>358</v>
      </c>
      <c r="L74" s="18" t="s">
        <v>67</v>
      </c>
      <c r="M74" s="15" t="s">
        <v>736</v>
      </c>
      <c r="N74" s="15" t="s">
        <v>160</v>
      </c>
      <c r="O74" s="15" t="s">
        <v>729</v>
      </c>
      <c r="P74" s="15" t="s">
        <v>358</v>
      </c>
      <c r="Q74" s="15" t="s">
        <v>737</v>
      </c>
    </row>
    <row r="75" customFormat="false" ht="57.45" hidden="false" customHeight="false" outlineLevel="0" collapsed="false">
      <c r="A75" s="15" t="s">
        <v>724</v>
      </c>
      <c r="B75" s="15" t="s">
        <v>725</v>
      </c>
      <c r="C75" s="15" t="s">
        <v>111</v>
      </c>
      <c r="D75" s="20" t="s">
        <v>75</v>
      </c>
      <c r="E75" s="15" t="s">
        <v>371</v>
      </c>
      <c r="F75" s="15" t="s">
        <v>738</v>
      </c>
      <c r="G75" s="15" t="s">
        <v>739</v>
      </c>
      <c r="H75" s="15" t="s">
        <v>740</v>
      </c>
      <c r="I75" s="15" t="s">
        <v>741</v>
      </c>
      <c r="J75" s="15" t="s">
        <v>358</v>
      </c>
      <c r="K75" s="15" t="s">
        <v>358</v>
      </c>
      <c r="L75" s="18" t="s">
        <v>67</v>
      </c>
      <c r="M75" s="15" t="s">
        <v>742</v>
      </c>
      <c r="N75" s="15" t="s">
        <v>743</v>
      </c>
      <c r="O75" s="15" t="s">
        <v>729</v>
      </c>
      <c r="P75" s="15" t="s">
        <v>358</v>
      </c>
      <c r="Q75" s="15" t="s">
        <v>744</v>
      </c>
    </row>
    <row r="76" customFormat="false" ht="35.05" hidden="false" customHeight="false" outlineLevel="0" collapsed="false">
      <c r="A76" s="15" t="s">
        <v>745</v>
      </c>
      <c r="B76" s="15" t="s">
        <v>746</v>
      </c>
      <c r="C76" s="15" t="s">
        <v>111</v>
      </c>
      <c r="D76" s="16" t="s">
        <v>73</v>
      </c>
      <c r="E76" s="15" t="s">
        <v>91</v>
      </c>
      <c r="F76" s="15" t="s">
        <v>747</v>
      </c>
      <c r="G76" s="15" t="s">
        <v>355</v>
      </c>
      <c r="H76" s="15" t="s">
        <v>748</v>
      </c>
      <c r="I76" s="15" t="s">
        <v>358</v>
      </c>
      <c r="J76" s="15" t="s">
        <v>358</v>
      </c>
      <c r="K76" s="15" t="s">
        <v>358</v>
      </c>
      <c r="L76" s="21" t="s">
        <v>66</v>
      </c>
      <c r="M76" s="15" t="s">
        <v>749</v>
      </c>
      <c r="N76" s="15" t="s">
        <v>107</v>
      </c>
      <c r="O76" s="15" t="s">
        <v>750</v>
      </c>
      <c r="P76" s="15" t="s">
        <v>751</v>
      </c>
      <c r="Q76" s="15" t="s">
        <v>752</v>
      </c>
    </row>
    <row r="77" customFormat="false" ht="57.45" hidden="false" customHeight="false" outlineLevel="0" collapsed="false">
      <c r="A77" s="15" t="s">
        <v>745</v>
      </c>
      <c r="B77" s="15" t="s">
        <v>746</v>
      </c>
      <c r="C77" s="15" t="s">
        <v>111</v>
      </c>
      <c r="D77" s="19" t="s">
        <v>74</v>
      </c>
      <c r="E77" s="15" t="s">
        <v>143</v>
      </c>
      <c r="F77" s="15" t="s">
        <v>753</v>
      </c>
      <c r="G77" s="15" t="s">
        <v>754</v>
      </c>
      <c r="H77" s="15" t="s">
        <v>755</v>
      </c>
      <c r="I77" s="15" t="s">
        <v>358</v>
      </c>
      <c r="J77" s="15" t="s">
        <v>358</v>
      </c>
      <c r="K77" s="15" t="s">
        <v>358</v>
      </c>
      <c r="L77" s="21" t="s">
        <v>66</v>
      </c>
      <c r="M77" s="15" t="s">
        <v>756</v>
      </c>
      <c r="N77" s="15" t="s">
        <v>107</v>
      </c>
      <c r="O77" s="15" t="s">
        <v>750</v>
      </c>
      <c r="P77" s="15" t="s">
        <v>358</v>
      </c>
      <c r="Q77" s="15" t="s">
        <v>757</v>
      </c>
    </row>
    <row r="78" customFormat="false" ht="68.65" hidden="false" customHeight="false" outlineLevel="0" collapsed="false">
      <c r="A78" s="15" t="s">
        <v>745</v>
      </c>
      <c r="B78" s="15" t="s">
        <v>746</v>
      </c>
      <c r="C78" s="15" t="s">
        <v>111</v>
      </c>
      <c r="D78" s="20" t="s">
        <v>75</v>
      </c>
      <c r="E78" s="15" t="s">
        <v>371</v>
      </c>
      <c r="F78" s="15" t="s">
        <v>758</v>
      </c>
      <c r="G78" s="15" t="s">
        <v>759</v>
      </c>
      <c r="H78" s="15" t="s">
        <v>760</v>
      </c>
      <c r="I78" s="15" t="s">
        <v>761</v>
      </c>
      <c r="J78" s="15" t="s">
        <v>358</v>
      </c>
      <c r="K78" s="15" t="s">
        <v>358</v>
      </c>
      <c r="L78" s="18" t="s">
        <v>67</v>
      </c>
      <c r="M78" s="15" t="s">
        <v>762</v>
      </c>
      <c r="N78" s="15" t="s">
        <v>171</v>
      </c>
      <c r="O78" s="15" t="s">
        <v>750</v>
      </c>
      <c r="P78" s="15" t="s">
        <v>358</v>
      </c>
      <c r="Q78" s="15" t="s">
        <v>763</v>
      </c>
    </row>
    <row r="79" customFormat="false" ht="35.05" hidden="false" customHeight="false" outlineLevel="0" collapsed="false">
      <c r="A79" s="15" t="s">
        <v>764</v>
      </c>
      <c r="B79" s="15" t="s">
        <v>765</v>
      </c>
      <c r="C79" s="15" t="s">
        <v>111</v>
      </c>
      <c r="D79" s="16" t="s">
        <v>73</v>
      </c>
      <c r="E79" s="15" t="s">
        <v>91</v>
      </c>
      <c r="F79" s="15" t="s">
        <v>766</v>
      </c>
      <c r="G79" s="15" t="s">
        <v>355</v>
      </c>
      <c r="H79" s="15" t="s">
        <v>767</v>
      </c>
      <c r="I79" s="15" t="s">
        <v>768</v>
      </c>
      <c r="J79" s="15" t="s">
        <v>358</v>
      </c>
      <c r="K79" s="15" t="s">
        <v>358</v>
      </c>
      <c r="L79" s="18" t="s">
        <v>67</v>
      </c>
      <c r="M79" s="15" t="s">
        <v>769</v>
      </c>
      <c r="N79" s="15" t="s">
        <v>770</v>
      </c>
      <c r="O79" s="15" t="s">
        <v>771</v>
      </c>
      <c r="P79" s="15" t="s">
        <v>772</v>
      </c>
      <c r="Q79" s="15" t="s">
        <v>773</v>
      </c>
    </row>
    <row r="80" customFormat="false" ht="46.25" hidden="false" customHeight="false" outlineLevel="0" collapsed="false">
      <c r="A80" s="15" t="s">
        <v>764</v>
      </c>
      <c r="B80" s="15" t="s">
        <v>765</v>
      </c>
      <c r="C80" s="15" t="s">
        <v>111</v>
      </c>
      <c r="D80" s="19" t="s">
        <v>74</v>
      </c>
      <c r="E80" s="15" t="s">
        <v>143</v>
      </c>
      <c r="F80" s="15" t="s">
        <v>774</v>
      </c>
      <c r="G80" s="15" t="s">
        <v>775</v>
      </c>
      <c r="H80" s="15" t="s">
        <v>767</v>
      </c>
      <c r="I80" s="15" t="s">
        <v>776</v>
      </c>
      <c r="J80" s="15" t="s">
        <v>358</v>
      </c>
      <c r="K80" s="15" t="s">
        <v>358</v>
      </c>
      <c r="L80" s="18" t="s">
        <v>67</v>
      </c>
      <c r="M80" s="15" t="s">
        <v>777</v>
      </c>
      <c r="N80" s="15" t="s">
        <v>778</v>
      </c>
      <c r="O80" s="15" t="s">
        <v>771</v>
      </c>
      <c r="P80" s="15" t="s">
        <v>358</v>
      </c>
      <c r="Q80" s="15" t="s">
        <v>779</v>
      </c>
    </row>
    <row r="81" customFormat="false" ht="46.25" hidden="false" customHeight="false" outlineLevel="0" collapsed="false">
      <c r="A81" s="15" t="s">
        <v>764</v>
      </c>
      <c r="B81" s="15" t="s">
        <v>765</v>
      </c>
      <c r="C81" s="15" t="s">
        <v>111</v>
      </c>
      <c r="D81" s="20" t="s">
        <v>75</v>
      </c>
      <c r="E81" s="15" t="s">
        <v>371</v>
      </c>
      <c r="F81" s="15" t="s">
        <v>780</v>
      </c>
      <c r="G81" s="15" t="s">
        <v>781</v>
      </c>
      <c r="H81" s="15" t="s">
        <v>782</v>
      </c>
      <c r="I81" s="15" t="s">
        <v>776</v>
      </c>
      <c r="J81" s="15" t="s">
        <v>358</v>
      </c>
      <c r="K81" s="15" t="s">
        <v>358</v>
      </c>
      <c r="L81" s="18" t="s">
        <v>67</v>
      </c>
      <c r="M81" s="15" t="s">
        <v>783</v>
      </c>
      <c r="N81" s="15" t="s">
        <v>778</v>
      </c>
      <c r="O81" s="15" t="s">
        <v>771</v>
      </c>
      <c r="P81" s="15" t="s">
        <v>358</v>
      </c>
      <c r="Q81" s="15" t="s">
        <v>784</v>
      </c>
    </row>
    <row r="82" customFormat="false" ht="23.85" hidden="false" customHeight="false" outlineLevel="0" collapsed="false">
      <c r="A82" s="15" t="s">
        <v>109</v>
      </c>
      <c r="B82" s="15" t="s">
        <v>110</v>
      </c>
      <c r="C82" s="15" t="s">
        <v>111</v>
      </c>
      <c r="D82" s="16" t="s">
        <v>73</v>
      </c>
      <c r="E82" s="15" t="s">
        <v>91</v>
      </c>
      <c r="F82" s="15" t="s">
        <v>112</v>
      </c>
      <c r="G82" s="15" t="s">
        <v>355</v>
      </c>
      <c r="H82" s="15" t="s">
        <v>785</v>
      </c>
      <c r="I82" s="15" t="s">
        <v>358</v>
      </c>
      <c r="J82" s="15" t="s">
        <v>358</v>
      </c>
      <c r="K82" s="15" t="s">
        <v>358</v>
      </c>
      <c r="L82" s="21" t="s">
        <v>66</v>
      </c>
      <c r="M82" s="15" t="s">
        <v>114</v>
      </c>
      <c r="N82" s="15" t="s">
        <v>107</v>
      </c>
      <c r="O82" s="15" t="s">
        <v>786</v>
      </c>
      <c r="P82" s="15" t="s">
        <v>113</v>
      </c>
      <c r="Q82" s="15" t="s">
        <v>787</v>
      </c>
    </row>
    <row r="83" customFormat="false" ht="35.05" hidden="false" customHeight="false" outlineLevel="0" collapsed="false">
      <c r="A83" s="15" t="s">
        <v>109</v>
      </c>
      <c r="B83" s="15" t="s">
        <v>110</v>
      </c>
      <c r="C83" s="15" t="s">
        <v>111</v>
      </c>
      <c r="D83" s="19" t="s">
        <v>74</v>
      </c>
      <c r="E83" s="15" t="s">
        <v>143</v>
      </c>
      <c r="F83" s="15" t="s">
        <v>788</v>
      </c>
      <c r="G83" s="15" t="s">
        <v>789</v>
      </c>
      <c r="H83" s="15" t="s">
        <v>790</v>
      </c>
      <c r="I83" s="15" t="s">
        <v>735</v>
      </c>
      <c r="J83" s="15" t="s">
        <v>358</v>
      </c>
      <c r="K83" s="15" t="s">
        <v>358</v>
      </c>
      <c r="L83" s="18" t="s">
        <v>67</v>
      </c>
      <c r="M83" s="15" t="s">
        <v>791</v>
      </c>
      <c r="N83" s="15" t="s">
        <v>160</v>
      </c>
      <c r="O83" s="15" t="s">
        <v>786</v>
      </c>
      <c r="P83" s="15" t="s">
        <v>358</v>
      </c>
      <c r="Q83" s="15" t="s">
        <v>792</v>
      </c>
    </row>
    <row r="84" customFormat="false" ht="46.25" hidden="false" customHeight="false" outlineLevel="0" collapsed="false">
      <c r="A84" s="15" t="s">
        <v>109</v>
      </c>
      <c r="B84" s="15" t="s">
        <v>110</v>
      </c>
      <c r="C84" s="15" t="s">
        <v>111</v>
      </c>
      <c r="D84" s="20" t="s">
        <v>75</v>
      </c>
      <c r="E84" s="15" t="s">
        <v>371</v>
      </c>
      <c r="F84" s="15" t="s">
        <v>793</v>
      </c>
      <c r="G84" s="15" t="s">
        <v>739</v>
      </c>
      <c r="H84" s="15" t="s">
        <v>794</v>
      </c>
      <c r="I84" s="15" t="s">
        <v>741</v>
      </c>
      <c r="J84" s="15" t="s">
        <v>358</v>
      </c>
      <c r="K84" s="15" t="s">
        <v>358</v>
      </c>
      <c r="L84" s="18" t="s">
        <v>67</v>
      </c>
      <c r="M84" s="15" t="s">
        <v>795</v>
      </c>
      <c r="N84" s="15" t="s">
        <v>743</v>
      </c>
      <c r="O84" s="15" t="s">
        <v>786</v>
      </c>
      <c r="P84" s="15" t="s">
        <v>358</v>
      </c>
      <c r="Q84" s="15" t="s">
        <v>796</v>
      </c>
    </row>
    <row r="85" customFormat="false" ht="35.05" hidden="false" customHeight="false" outlineLevel="0" collapsed="false">
      <c r="A85" s="15" t="s">
        <v>115</v>
      </c>
      <c r="B85" s="15" t="s">
        <v>116</v>
      </c>
      <c r="C85" s="15" t="s">
        <v>111</v>
      </c>
      <c r="D85" s="16" t="s">
        <v>73</v>
      </c>
      <c r="E85" s="15" t="s">
        <v>91</v>
      </c>
      <c r="F85" s="15" t="s">
        <v>117</v>
      </c>
      <c r="G85" s="15" t="s">
        <v>355</v>
      </c>
      <c r="H85" s="15" t="s">
        <v>797</v>
      </c>
      <c r="I85" s="15" t="s">
        <v>358</v>
      </c>
      <c r="J85" s="15" t="s">
        <v>358</v>
      </c>
      <c r="K85" s="15" t="s">
        <v>358</v>
      </c>
      <c r="L85" s="21" t="s">
        <v>66</v>
      </c>
      <c r="M85" s="15" t="s">
        <v>119</v>
      </c>
      <c r="N85" s="15" t="s">
        <v>107</v>
      </c>
      <c r="O85" s="15" t="s">
        <v>798</v>
      </c>
      <c r="P85" s="15" t="s">
        <v>118</v>
      </c>
      <c r="Q85" s="15" t="s">
        <v>799</v>
      </c>
    </row>
    <row r="86" customFormat="false" ht="46.25" hidden="false" customHeight="false" outlineLevel="0" collapsed="false">
      <c r="A86" s="15" t="s">
        <v>115</v>
      </c>
      <c r="B86" s="15" t="s">
        <v>116</v>
      </c>
      <c r="C86" s="15" t="s">
        <v>111</v>
      </c>
      <c r="D86" s="19" t="s">
        <v>74</v>
      </c>
      <c r="E86" s="15" t="s">
        <v>143</v>
      </c>
      <c r="F86" s="15" t="s">
        <v>800</v>
      </c>
      <c r="G86" s="15" t="s">
        <v>801</v>
      </c>
      <c r="H86" s="15" t="s">
        <v>797</v>
      </c>
      <c r="I86" s="15" t="s">
        <v>802</v>
      </c>
      <c r="J86" s="15" t="s">
        <v>358</v>
      </c>
      <c r="K86" s="15" t="s">
        <v>358</v>
      </c>
      <c r="L86" s="18" t="s">
        <v>67</v>
      </c>
      <c r="M86" s="15" t="s">
        <v>803</v>
      </c>
      <c r="N86" s="15" t="s">
        <v>804</v>
      </c>
      <c r="O86" s="15" t="s">
        <v>798</v>
      </c>
      <c r="P86" s="15" t="s">
        <v>358</v>
      </c>
      <c r="Q86" s="15" t="s">
        <v>805</v>
      </c>
    </row>
    <row r="87" customFormat="false" ht="57.45" hidden="false" customHeight="false" outlineLevel="0" collapsed="false">
      <c r="A87" s="15" t="s">
        <v>115</v>
      </c>
      <c r="B87" s="15" t="s">
        <v>116</v>
      </c>
      <c r="C87" s="15" t="s">
        <v>111</v>
      </c>
      <c r="D87" s="20" t="s">
        <v>75</v>
      </c>
      <c r="E87" s="15" t="s">
        <v>371</v>
      </c>
      <c r="F87" s="15" t="s">
        <v>806</v>
      </c>
      <c r="G87" s="15" t="s">
        <v>807</v>
      </c>
      <c r="H87" s="15" t="s">
        <v>808</v>
      </c>
      <c r="I87" s="15" t="s">
        <v>809</v>
      </c>
      <c r="J87" s="15" t="s">
        <v>358</v>
      </c>
      <c r="K87" s="15" t="s">
        <v>358</v>
      </c>
      <c r="L87" s="18" t="s">
        <v>67</v>
      </c>
      <c r="M87" s="15" t="s">
        <v>810</v>
      </c>
      <c r="N87" s="15" t="s">
        <v>811</v>
      </c>
      <c r="O87" s="15" t="s">
        <v>798</v>
      </c>
      <c r="P87" s="15" t="s">
        <v>358</v>
      </c>
      <c r="Q87" s="15" t="s">
        <v>812</v>
      </c>
    </row>
    <row r="88" customFormat="false" ht="23.85" hidden="false" customHeight="false" outlineLevel="0" collapsed="false">
      <c r="A88" s="15" t="s">
        <v>813</v>
      </c>
      <c r="B88" s="15" t="s">
        <v>814</v>
      </c>
      <c r="C88" s="15" t="s">
        <v>111</v>
      </c>
      <c r="D88" s="16" t="s">
        <v>73</v>
      </c>
      <c r="E88" s="15" t="s">
        <v>91</v>
      </c>
      <c r="F88" s="15" t="s">
        <v>815</v>
      </c>
      <c r="G88" s="15" t="s">
        <v>355</v>
      </c>
      <c r="H88" s="15" t="s">
        <v>816</v>
      </c>
      <c r="I88" s="15" t="s">
        <v>358</v>
      </c>
      <c r="J88" s="15" t="s">
        <v>358</v>
      </c>
      <c r="K88" s="15" t="s">
        <v>358</v>
      </c>
      <c r="L88" s="21" t="s">
        <v>66</v>
      </c>
      <c r="M88" s="15" t="s">
        <v>817</v>
      </c>
      <c r="N88" s="15" t="s">
        <v>107</v>
      </c>
      <c r="O88" s="15" t="s">
        <v>818</v>
      </c>
      <c r="P88" s="15" t="s">
        <v>819</v>
      </c>
      <c r="Q88" s="15" t="s">
        <v>820</v>
      </c>
    </row>
    <row r="89" customFormat="false" ht="35.05" hidden="false" customHeight="false" outlineLevel="0" collapsed="false">
      <c r="A89" s="15" t="s">
        <v>813</v>
      </c>
      <c r="B89" s="15" t="s">
        <v>814</v>
      </c>
      <c r="C89" s="15" t="s">
        <v>111</v>
      </c>
      <c r="D89" s="19" t="s">
        <v>74</v>
      </c>
      <c r="E89" s="15" t="s">
        <v>143</v>
      </c>
      <c r="F89" s="15" t="s">
        <v>821</v>
      </c>
      <c r="G89" s="15" t="s">
        <v>822</v>
      </c>
      <c r="H89" s="15" t="s">
        <v>816</v>
      </c>
      <c r="I89" s="15" t="s">
        <v>559</v>
      </c>
      <c r="J89" s="15" t="s">
        <v>358</v>
      </c>
      <c r="K89" s="15" t="s">
        <v>358</v>
      </c>
      <c r="L89" s="18" t="s">
        <v>67</v>
      </c>
      <c r="M89" s="15" t="s">
        <v>823</v>
      </c>
      <c r="N89" s="15" t="s">
        <v>824</v>
      </c>
      <c r="O89" s="15" t="s">
        <v>818</v>
      </c>
      <c r="P89" s="15" t="s">
        <v>358</v>
      </c>
      <c r="Q89" s="15" t="s">
        <v>825</v>
      </c>
    </row>
    <row r="90" customFormat="false" ht="57.45" hidden="false" customHeight="false" outlineLevel="0" collapsed="false">
      <c r="A90" s="15" t="s">
        <v>813</v>
      </c>
      <c r="B90" s="15" t="s">
        <v>814</v>
      </c>
      <c r="C90" s="15" t="s">
        <v>111</v>
      </c>
      <c r="D90" s="20" t="s">
        <v>75</v>
      </c>
      <c r="E90" s="15" t="s">
        <v>371</v>
      </c>
      <c r="F90" s="15" t="s">
        <v>826</v>
      </c>
      <c r="G90" s="15" t="s">
        <v>827</v>
      </c>
      <c r="H90" s="15" t="s">
        <v>828</v>
      </c>
      <c r="I90" s="15" t="s">
        <v>559</v>
      </c>
      <c r="J90" s="15" t="s">
        <v>474</v>
      </c>
      <c r="K90" s="15" t="s">
        <v>358</v>
      </c>
      <c r="L90" s="22" t="s">
        <v>68</v>
      </c>
      <c r="M90" s="15" t="s">
        <v>829</v>
      </c>
      <c r="N90" s="15" t="s">
        <v>561</v>
      </c>
      <c r="O90" s="15" t="s">
        <v>818</v>
      </c>
      <c r="P90" s="15" t="s">
        <v>358</v>
      </c>
      <c r="Q90" s="15" t="s">
        <v>830</v>
      </c>
    </row>
    <row r="91" customFormat="false" ht="35.05" hidden="false" customHeight="false" outlineLevel="0" collapsed="false">
      <c r="A91" s="15" t="s">
        <v>120</v>
      </c>
      <c r="B91" s="15" t="s">
        <v>121</v>
      </c>
      <c r="C91" s="15" t="s">
        <v>111</v>
      </c>
      <c r="D91" s="16" t="s">
        <v>73</v>
      </c>
      <c r="E91" s="15" t="s">
        <v>91</v>
      </c>
      <c r="F91" s="15" t="s">
        <v>122</v>
      </c>
      <c r="G91" s="15" t="s">
        <v>355</v>
      </c>
      <c r="H91" s="15" t="s">
        <v>831</v>
      </c>
      <c r="I91" s="15" t="s">
        <v>358</v>
      </c>
      <c r="J91" s="15" t="s">
        <v>358</v>
      </c>
      <c r="K91" s="15" t="s">
        <v>358</v>
      </c>
      <c r="L91" s="21" t="s">
        <v>66</v>
      </c>
      <c r="M91" s="15" t="s">
        <v>124</v>
      </c>
      <c r="N91" s="15" t="s">
        <v>107</v>
      </c>
      <c r="O91" s="15" t="s">
        <v>832</v>
      </c>
      <c r="P91" s="15" t="s">
        <v>123</v>
      </c>
      <c r="Q91" s="15" t="s">
        <v>833</v>
      </c>
    </row>
    <row r="92" customFormat="false" ht="57.45" hidden="false" customHeight="false" outlineLevel="0" collapsed="false">
      <c r="A92" s="15" t="s">
        <v>120</v>
      </c>
      <c r="B92" s="15" t="s">
        <v>121</v>
      </c>
      <c r="C92" s="15" t="s">
        <v>111</v>
      </c>
      <c r="D92" s="19" t="s">
        <v>74</v>
      </c>
      <c r="E92" s="15" t="s">
        <v>143</v>
      </c>
      <c r="F92" s="15" t="s">
        <v>834</v>
      </c>
      <c r="G92" s="15" t="s">
        <v>835</v>
      </c>
      <c r="H92" s="15" t="s">
        <v>836</v>
      </c>
      <c r="I92" s="15" t="s">
        <v>358</v>
      </c>
      <c r="J92" s="15" t="s">
        <v>358</v>
      </c>
      <c r="K92" s="15" t="s">
        <v>358</v>
      </c>
      <c r="L92" s="21" t="s">
        <v>66</v>
      </c>
      <c r="M92" s="15" t="s">
        <v>837</v>
      </c>
      <c r="N92" s="15" t="s">
        <v>107</v>
      </c>
      <c r="O92" s="15" t="s">
        <v>832</v>
      </c>
      <c r="P92" s="15" t="s">
        <v>358</v>
      </c>
      <c r="Q92" s="15" t="s">
        <v>838</v>
      </c>
    </row>
    <row r="93" customFormat="false" ht="68.65" hidden="false" customHeight="false" outlineLevel="0" collapsed="false">
      <c r="A93" s="15" t="s">
        <v>120</v>
      </c>
      <c r="B93" s="15" t="s">
        <v>121</v>
      </c>
      <c r="C93" s="15" t="s">
        <v>111</v>
      </c>
      <c r="D93" s="20" t="s">
        <v>75</v>
      </c>
      <c r="E93" s="15" t="s">
        <v>371</v>
      </c>
      <c r="F93" s="15" t="s">
        <v>839</v>
      </c>
      <c r="G93" s="15" t="s">
        <v>840</v>
      </c>
      <c r="H93" s="15" t="s">
        <v>836</v>
      </c>
      <c r="I93" s="15" t="s">
        <v>761</v>
      </c>
      <c r="J93" s="15" t="s">
        <v>358</v>
      </c>
      <c r="K93" s="15" t="s">
        <v>358</v>
      </c>
      <c r="L93" s="18" t="s">
        <v>67</v>
      </c>
      <c r="M93" s="15" t="s">
        <v>841</v>
      </c>
      <c r="N93" s="15" t="s">
        <v>171</v>
      </c>
      <c r="O93" s="15" t="s">
        <v>832</v>
      </c>
      <c r="P93" s="15" t="s">
        <v>358</v>
      </c>
      <c r="Q93" s="15" t="s">
        <v>842</v>
      </c>
    </row>
    <row r="94" customFormat="false" ht="46.25" hidden="false" customHeight="false" outlineLevel="0" collapsed="false">
      <c r="A94" s="15" t="s">
        <v>155</v>
      </c>
      <c r="B94" s="15" t="s">
        <v>156</v>
      </c>
      <c r="C94" s="15" t="s">
        <v>157</v>
      </c>
      <c r="D94" s="16" t="s">
        <v>73</v>
      </c>
      <c r="E94" s="15" t="s">
        <v>143</v>
      </c>
      <c r="F94" s="15" t="s">
        <v>158</v>
      </c>
      <c r="G94" s="15" t="s">
        <v>355</v>
      </c>
      <c r="H94" s="15" t="s">
        <v>843</v>
      </c>
      <c r="I94" s="15" t="s">
        <v>735</v>
      </c>
      <c r="J94" s="15" t="s">
        <v>358</v>
      </c>
      <c r="K94" s="15" t="s">
        <v>358</v>
      </c>
      <c r="L94" s="18" t="s">
        <v>67</v>
      </c>
      <c r="M94" s="15" t="s">
        <v>159</v>
      </c>
      <c r="N94" s="15" t="s">
        <v>160</v>
      </c>
      <c r="O94" s="15" t="s">
        <v>844</v>
      </c>
      <c r="P94" s="15" t="s">
        <v>105</v>
      </c>
      <c r="Q94" s="15" t="s">
        <v>845</v>
      </c>
    </row>
    <row r="95" customFormat="false" ht="68.65" hidden="false" customHeight="false" outlineLevel="0" collapsed="false">
      <c r="A95" s="15" t="s">
        <v>155</v>
      </c>
      <c r="B95" s="15" t="s">
        <v>156</v>
      </c>
      <c r="C95" s="15" t="s">
        <v>157</v>
      </c>
      <c r="D95" s="19" t="s">
        <v>74</v>
      </c>
      <c r="E95" s="15" t="s">
        <v>215</v>
      </c>
      <c r="F95" s="15" t="s">
        <v>846</v>
      </c>
      <c r="G95" s="15" t="s">
        <v>847</v>
      </c>
      <c r="H95" s="15" t="s">
        <v>848</v>
      </c>
      <c r="I95" s="15" t="s">
        <v>735</v>
      </c>
      <c r="J95" s="15" t="s">
        <v>474</v>
      </c>
      <c r="K95" s="15" t="s">
        <v>530</v>
      </c>
      <c r="L95" s="23" t="s">
        <v>69</v>
      </c>
      <c r="M95" s="15" t="s">
        <v>849</v>
      </c>
      <c r="N95" s="15" t="s">
        <v>850</v>
      </c>
      <c r="O95" s="15" t="s">
        <v>844</v>
      </c>
      <c r="P95" s="15" t="s">
        <v>358</v>
      </c>
      <c r="Q95" s="15" t="s">
        <v>851</v>
      </c>
    </row>
    <row r="96" customFormat="false" ht="91" hidden="false" customHeight="false" outlineLevel="0" collapsed="false">
      <c r="A96" s="15" t="s">
        <v>155</v>
      </c>
      <c r="B96" s="15" t="s">
        <v>156</v>
      </c>
      <c r="C96" s="15" t="s">
        <v>157</v>
      </c>
      <c r="D96" s="20" t="s">
        <v>75</v>
      </c>
      <c r="E96" s="15" t="s">
        <v>629</v>
      </c>
      <c r="F96" s="15" t="s">
        <v>852</v>
      </c>
      <c r="G96" s="15" t="s">
        <v>853</v>
      </c>
      <c r="H96" s="15" t="s">
        <v>848</v>
      </c>
      <c r="I96" s="15" t="s">
        <v>854</v>
      </c>
      <c r="J96" s="15" t="s">
        <v>474</v>
      </c>
      <c r="K96" s="15" t="s">
        <v>530</v>
      </c>
      <c r="L96" s="23" t="s">
        <v>69</v>
      </c>
      <c r="M96" s="15" t="s">
        <v>855</v>
      </c>
      <c r="N96" s="15" t="s">
        <v>856</v>
      </c>
      <c r="O96" s="15" t="s">
        <v>844</v>
      </c>
      <c r="P96" s="15" t="s">
        <v>358</v>
      </c>
      <c r="Q96" s="15" t="s">
        <v>857</v>
      </c>
    </row>
    <row r="97" customFormat="false" ht="23.85" hidden="false" customHeight="false" outlineLevel="0" collapsed="false">
      <c r="A97" s="15" t="s">
        <v>125</v>
      </c>
      <c r="B97" s="15" t="s">
        <v>126</v>
      </c>
      <c r="C97" s="15" t="s">
        <v>127</v>
      </c>
      <c r="D97" s="16" t="s">
        <v>73</v>
      </c>
      <c r="E97" s="15" t="s">
        <v>91</v>
      </c>
      <c r="F97" s="15" t="s">
        <v>128</v>
      </c>
      <c r="G97" s="15" t="s">
        <v>355</v>
      </c>
      <c r="H97" s="15" t="s">
        <v>858</v>
      </c>
      <c r="I97" s="15" t="s">
        <v>358</v>
      </c>
      <c r="J97" s="15" t="s">
        <v>358</v>
      </c>
      <c r="K97" s="15" t="s">
        <v>358</v>
      </c>
      <c r="L97" s="21" t="s">
        <v>66</v>
      </c>
      <c r="M97" s="15" t="s">
        <v>129</v>
      </c>
      <c r="N97" s="15" t="s">
        <v>107</v>
      </c>
      <c r="O97" s="15" t="s">
        <v>859</v>
      </c>
      <c r="P97" s="15" t="s">
        <v>105</v>
      </c>
      <c r="Q97" s="15" t="s">
        <v>860</v>
      </c>
    </row>
    <row r="98" customFormat="false" ht="46.25" hidden="false" customHeight="false" outlineLevel="0" collapsed="false">
      <c r="A98" s="15" t="s">
        <v>125</v>
      </c>
      <c r="B98" s="15" t="s">
        <v>126</v>
      </c>
      <c r="C98" s="15" t="s">
        <v>127</v>
      </c>
      <c r="D98" s="19" t="s">
        <v>74</v>
      </c>
      <c r="E98" s="15" t="s">
        <v>143</v>
      </c>
      <c r="F98" s="15" t="s">
        <v>861</v>
      </c>
      <c r="G98" s="15" t="s">
        <v>862</v>
      </c>
      <c r="H98" s="15" t="s">
        <v>863</v>
      </c>
      <c r="I98" s="15" t="s">
        <v>358</v>
      </c>
      <c r="J98" s="15" t="s">
        <v>358</v>
      </c>
      <c r="K98" s="15" t="s">
        <v>358</v>
      </c>
      <c r="L98" s="21" t="s">
        <v>66</v>
      </c>
      <c r="M98" s="15" t="s">
        <v>864</v>
      </c>
      <c r="N98" s="15" t="s">
        <v>107</v>
      </c>
      <c r="O98" s="15" t="s">
        <v>859</v>
      </c>
      <c r="P98" s="15" t="s">
        <v>358</v>
      </c>
      <c r="Q98" s="15" t="s">
        <v>865</v>
      </c>
    </row>
    <row r="99" customFormat="false" ht="57.45" hidden="false" customHeight="false" outlineLevel="0" collapsed="false">
      <c r="A99" s="15" t="s">
        <v>125</v>
      </c>
      <c r="B99" s="15" t="s">
        <v>126</v>
      </c>
      <c r="C99" s="15" t="s">
        <v>127</v>
      </c>
      <c r="D99" s="20" t="s">
        <v>75</v>
      </c>
      <c r="E99" s="15" t="s">
        <v>371</v>
      </c>
      <c r="F99" s="15" t="s">
        <v>866</v>
      </c>
      <c r="G99" s="15" t="s">
        <v>867</v>
      </c>
      <c r="H99" s="15" t="s">
        <v>868</v>
      </c>
      <c r="I99" s="15" t="s">
        <v>358</v>
      </c>
      <c r="J99" s="15" t="s">
        <v>474</v>
      </c>
      <c r="K99" s="15" t="s">
        <v>358</v>
      </c>
      <c r="L99" s="22" t="s">
        <v>68</v>
      </c>
      <c r="M99" s="15" t="s">
        <v>869</v>
      </c>
      <c r="N99" s="15" t="s">
        <v>476</v>
      </c>
      <c r="O99" s="15" t="s">
        <v>859</v>
      </c>
      <c r="P99" s="15" t="s">
        <v>358</v>
      </c>
      <c r="Q99" s="15" t="s">
        <v>870</v>
      </c>
    </row>
    <row r="100" customFormat="false" ht="35.05" hidden="false" customHeight="false" outlineLevel="0" collapsed="false">
      <c r="A100" s="15" t="s">
        <v>130</v>
      </c>
      <c r="B100" s="15" t="s">
        <v>131</v>
      </c>
      <c r="C100" s="15" t="s">
        <v>127</v>
      </c>
      <c r="D100" s="16" t="s">
        <v>73</v>
      </c>
      <c r="E100" s="15" t="s">
        <v>91</v>
      </c>
      <c r="F100" s="15" t="s">
        <v>132</v>
      </c>
      <c r="G100" s="15" t="s">
        <v>355</v>
      </c>
      <c r="H100" s="15" t="s">
        <v>871</v>
      </c>
      <c r="I100" s="15" t="s">
        <v>872</v>
      </c>
      <c r="J100" s="15" t="s">
        <v>358</v>
      </c>
      <c r="K100" s="15" t="s">
        <v>358</v>
      </c>
      <c r="L100" s="18" t="s">
        <v>67</v>
      </c>
      <c r="M100" s="15" t="s">
        <v>133</v>
      </c>
      <c r="N100" s="15" t="s">
        <v>134</v>
      </c>
      <c r="O100" s="15" t="s">
        <v>873</v>
      </c>
      <c r="P100" s="15" t="s">
        <v>105</v>
      </c>
      <c r="Q100" s="15" t="s">
        <v>874</v>
      </c>
    </row>
    <row r="101" customFormat="false" ht="57.45" hidden="false" customHeight="false" outlineLevel="0" collapsed="false">
      <c r="A101" s="15" t="s">
        <v>130</v>
      </c>
      <c r="B101" s="15" t="s">
        <v>131</v>
      </c>
      <c r="C101" s="15" t="s">
        <v>127</v>
      </c>
      <c r="D101" s="19" t="s">
        <v>74</v>
      </c>
      <c r="E101" s="15" t="s">
        <v>143</v>
      </c>
      <c r="F101" s="15" t="s">
        <v>875</v>
      </c>
      <c r="G101" s="15" t="s">
        <v>876</v>
      </c>
      <c r="H101" s="15" t="s">
        <v>871</v>
      </c>
      <c r="I101" s="15" t="s">
        <v>877</v>
      </c>
      <c r="J101" s="15" t="s">
        <v>474</v>
      </c>
      <c r="K101" s="15" t="s">
        <v>358</v>
      </c>
      <c r="L101" s="22" t="s">
        <v>68</v>
      </c>
      <c r="M101" s="15" t="s">
        <v>878</v>
      </c>
      <c r="N101" s="15" t="s">
        <v>879</v>
      </c>
      <c r="O101" s="15" t="s">
        <v>873</v>
      </c>
      <c r="P101" s="15" t="s">
        <v>358</v>
      </c>
      <c r="Q101" s="15" t="s">
        <v>880</v>
      </c>
    </row>
    <row r="102" customFormat="false" ht="68.65" hidden="false" customHeight="false" outlineLevel="0" collapsed="false">
      <c r="A102" s="15" t="s">
        <v>130</v>
      </c>
      <c r="B102" s="15" t="s">
        <v>131</v>
      </c>
      <c r="C102" s="15" t="s">
        <v>127</v>
      </c>
      <c r="D102" s="20" t="s">
        <v>75</v>
      </c>
      <c r="E102" s="15" t="s">
        <v>371</v>
      </c>
      <c r="F102" s="15" t="s">
        <v>881</v>
      </c>
      <c r="G102" s="15" t="s">
        <v>882</v>
      </c>
      <c r="H102" s="15" t="s">
        <v>871</v>
      </c>
      <c r="I102" s="15" t="s">
        <v>877</v>
      </c>
      <c r="J102" s="15" t="s">
        <v>883</v>
      </c>
      <c r="K102" s="15" t="s">
        <v>358</v>
      </c>
      <c r="L102" s="22" t="s">
        <v>68</v>
      </c>
      <c r="M102" s="15" t="s">
        <v>884</v>
      </c>
      <c r="N102" s="15" t="s">
        <v>885</v>
      </c>
      <c r="O102" s="15" t="s">
        <v>873</v>
      </c>
      <c r="P102" s="15" t="s">
        <v>358</v>
      </c>
      <c r="Q102" s="15" t="s">
        <v>886</v>
      </c>
    </row>
    <row r="103" customFormat="false" ht="35.05" hidden="false" customHeight="false" outlineLevel="0" collapsed="false">
      <c r="A103" s="15" t="s">
        <v>270</v>
      </c>
      <c r="B103" s="15" t="s">
        <v>271</v>
      </c>
      <c r="C103" s="15" t="s">
        <v>272</v>
      </c>
      <c r="D103" s="16" t="s">
        <v>73</v>
      </c>
      <c r="E103" s="15" t="s">
        <v>273</v>
      </c>
      <c r="F103" s="15" t="s">
        <v>274</v>
      </c>
      <c r="G103" s="15" t="s">
        <v>355</v>
      </c>
      <c r="H103" s="15" t="s">
        <v>887</v>
      </c>
      <c r="I103" s="15" t="s">
        <v>358</v>
      </c>
      <c r="J103" s="15" t="s">
        <v>358</v>
      </c>
      <c r="K103" s="15" t="s">
        <v>358</v>
      </c>
      <c r="L103" s="21" t="s">
        <v>66</v>
      </c>
      <c r="M103" s="15" t="s">
        <v>275</v>
      </c>
      <c r="N103" s="15" t="s">
        <v>107</v>
      </c>
      <c r="O103" s="15" t="s">
        <v>888</v>
      </c>
      <c r="P103" s="15" t="s">
        <v>105</v>
      </c>
      <c r="Q103" s="15" t="s">
        <v>889</v>
      </c>
    </row>
    <row r="104" customFormat="false" ht="57.45" hidden="false" customHeight="false" outlineLevel="0" collapsed="false">
      <c r="A104" s="15" t="s">
        <v>270</v>
      </c>
      <c r="B104" s="15" t="s">
        <v>271</v>
      </c>
      <c r="C104" s="15" t="s">
        <v>272</v>
      </c>
      <c r="D104" s="19" t="s">
        <v>74</v>
      </c>
      <c r="E104" s="15" t="s">
        <v>890</v>
      </c>
      <c r="F104" s="15" t="s">
        <v>891</v>
      </c>
      <c r="G104" s="15" t="s">
        <v>892</v>
      </c>
      <c r="H104" s="15" t="s">
        <v>893</v>
      </c>
      <c r="I104" s="15" t="s">
        <v>358</v>
      </c>
      <c r="J104" s="15" t="s">
        <v>587</v>
      </c>
      <c r="K104" s="15" t="s">
        <v>358</v>
      </c>
      <c r="L104" s="22" t="s">
        <v>68</v>
      </c>
      <c r="M104" s="15" t="s">
        <v>894</v>
      </c>
      <c r="N104" s="15" t="s">
        <v>589</v>
      </c>
      <c r="O104" s="15" t="s">
        <v>888</v>
      </c>
      <c r="P104" s="15" t="s">
        <v>358</v>
      </c>
      <c r="Q104" s="15" t="s">
        <v>895</v>
      </c>
    </row>
    <row r="105" customFormat="false" ht="79.85" hidden="false" customHeight="false" outlineLevel="0" collapsed="false">
      <c r="A105" s="15" t="s">
        <v>270</v>
      </c>
      <c r="B105" s="15" t="s">
        <v>271</v>
      </c>
      <c r="C105" s="15" t="s">
        <v>272</v>
      </c>
      <c r="D105" s="20" t="s">
        <v>75</v>
      </c>
      <c r="E105" s="15" t="s">
        <v>371</v>
      </c>
      <c r="F105" s="15" t="s">
        <v>896</v>
      </c>
      <c r="G105" s="15" t="s">
        <v>897</v>
      </c>
      <c r="H105" s="15" t="s">
        <v>893</v>
      </c>
      <c r="I105" s="15" t="s">
        <v>358</v>
      </c>
      <c r="J105" s="15" t="s">
        <v>693</v>
      </c>
      <c r="K105" s="15" t="s">
        <v>530</v>
      </c>
      <c r="L105" s="23" t="s">
        <v>69</v>
      </c>
      <c r="M105" s="15" t="s">
        <v>898</v>
      </c>
      <c r="N105" s="15" t="s">
        <v>899</v>
      </c>
      <c r="O105" s="15" t="s">
        <v>888</v>
      </c>
      <c r="P105" s="15" t="s">
        <v>358</v>
      </c>
      <c r="Q105" s="15" t="s">
        <v>900</v>
      </c>
    </row>
    <row r="106" customFormat="false" ht="35.05" hidden="false" customHeight="false" outlineLevel="0" collapsed="false">
      <c r="A106" s="15" t="s">
        <v>277</v>
      </c>
      <c r="B106" s="15" t="s">
        <v>278</v>
      </c>
      <c r="C106" s="15" t="s">
        <v>272</v>
      </c>
      <c r="D106" s="16" t="s">
        <v>73</v>
      </c>
      <c r="E106" s="15" t="s">
        <v>273</v>
      </c>
      <c r="F106" s="15" t="s">
        <v>279</v>
      </c>
      <c r="G106" s="15" t="s">
        <v>355</v>
      </c>
      <c r="H106" s="15" t="s">
        <v>901</v>
      </c>
      <c r="I106" s="15" t="s">
        <v>358</v>
      </c>
      <c r="J106" s="15" t="s">
        <v>358</v>
      </c>
      <c r="K106" s="15" t="s">
        <v>358</v>
      </c>
      <c r="L106" s="21" t="s">
        <v>66</v>
      </c>
      <c r="M106" s="15" t="s">
        <v>280</v>
      </c>
      <c r="N106" s="15" t="s">
        <v>107</v>
      </c>
      <c r="O106" s="15" t="s">
        <v>902</v>
      </c>
      <c r="P106" s="15" t="s">
        <v>105</v>
      </c>
      <c r="Q106" s="15" t="s">
        <v>903</v>
      </c>
    </row>
    <row r="107" customFormat="false" ht="46.25" hidden="false" customHeight="false" outlineLevel="0" collapsed="false">
      <c r="A107" s="15" t="s">
        <v>277</v>
      </c>
      <c r="B107" s="15" t="s">
        <v>278</v>
      </c>
      <c r="C107" s="15" t="s">
        <v>272</v>
      </c>
      <c r="D107" s="19" t="s">
        <v>74</v>
      </c>
      <c r="E107" s="15" t="s">
        <v>890</v>
      </c>
      <c r="F107" s="15" t="s">
        <v>904</v>
      </c>
      <c r="G107" s="15" t="s">
        <v>905</v>
      </c>
      <c r="H107" s="15" t="s">
        <v>906</v>
      </c>
      <c r="I107" s="15" t="s">
        <v>358</v>
      </c>
      <c r="J107" s="15" t="s">
        <v>358</v>
      </c>
      <c r="K107" s="15" t="s">
        <v>358</v>
      </c>
      <c r="L107" s="21" t="s">
        <v>66</v>
      </c>
      <c r="M107" s="15" t="s">
        <v>907</v>
      </c>
      <c r="N107" s="15" t="s">
        <v>107</v>
      </c>
      <c r="O107" s="15" t="s">
        <v>902</v>
      </c>
      <c r="P107" s="15" t="s">
        <v>358</v>
      </c>
      <c r="Q107" s="15" t="s">
        <v>908</v>
      </c>
    </row>
    <row r="108" customFormat="false" ht="57.45" hidden="false" customHeight="false" outlineLevel="0" collapsed="false">
      <c r="A108" s="15" t="s">
        <v>277</v>
      </c>
      <c r="B108" s="15" t="s">
        <v>278</v>
      </c>
      <c r="C108" s="15" t="s">
        <v>272</v>
      </c>
      <c r="D108" s="20" t="s">
        <v>75</v>
      </c>
      <c r="E108" s="15" t="s">
        <v>371</v>
      </c>
      <c r="F108" s="15" t="s">
        <v>909</v>
      </c>
      <c r="G108" s="15" t="s">
        <v>910</v>
      </c>
      <c r="H108" s="15" t="s">
        <v>911</v>
      </c>
      <c r="I108" s="15" t="s">
        <v>358</v>
      </c>
      <c r="J108" s="15" t="s">
        <v>474</v>
      </c>
      <c r="K108" s="15" t="s">
        <v>358</v>
      </c>
      <c r="L108" s="22" t="s">
        <v>68</v>
      </c>
      <c r="M108" s="15" t="s">
        <v>912</v>
      </c>
      <c r="N108" s="15" t="s">
        <v>476</v>
      </c>
      <c r="O108" s="15" t="s">
        <v>902</v>
      </c>
      <c r="P108" s="15" t="s">
        <v>358</v>
      </c>
      <c r="Q108" s="15" t="s">
        <v>913</v>
      </c>
    </row>
    <row r="109" customFormat="false" ht="23.85" hidden="false" customHeight="false" outlineLevel="0" collapsed="false">
      <c r="A109" s="15" t="s">
        <v>135</v>
      </c>
      <c r="B109" s="15" t="s">
        <v>136</v>
      </c>
      <c r="C109" s="15" t="s">
        <v>137</v>
      </c>
      <c r="D109" s="16" t="s">
        <v>73</v>
      </c>
      <c r="E109" s="15" t="s">
        <v>91</v>
      </c>
      <c r="F109" s="15" t="s">
        <v>138</v>
      </c>
      <c r="G109" s="15" t="s">
        <v>355</v>
      </c>
      <c r="H109" s="15" t="s">
        <v>914</v>
      </c>
      <c r="I109" s="15" t="s">
        <v>358</v>
      </c>
      <c r="J109" s="15" t="s">
        <v>358</v>
      </c>
      <c r="K109" s="15" t="s">
        <v>358</v>
      </c>
      <c r="L109" s="21" t="s">
        <v>66</v>
      </c>
      <c r="M109" s="15" t="s">
        <v>140</v>
      </c>
      <c r="N109" s="15" t="s">
        <v>107</v>
      </c>
      <c r="O109" s="15" t="s">
        <v>915</v>
      </c>
      <c r="P109" s="15" t="s">
        <v>139</v>
      </c>
      <c r="Q109" s="15" t="s">
        <v>916</v>
      </c>
    </row>
    <row r="110" customFormat="false" ht="46.25" hidden="false" customHeight="false" outlineLevel="0" collapsed="false">
      <c r="A110" s="15" t="s">
        <v>135</v>
      </c>
      <c r="B110" s="15" t="s">
        <v>136</v>
      </c>
      <c r="C110" s="15" t="s">
        <v>137</v>
      </c>
      <c r="D110" s="19" t="s">
        <v>74</v>
      </c>
      <c r="E110" s="15" t="s">
        <v>192</v>
      </c>
      <c r="F110" s="15" t="s">
        <v>917</v>
      </c>
      <c r="G110" s="15" t="s">
        <v>918</v>
      </c>
      <c r="H110" s="15" t="s">
        <v>919</v>
      </c>
      <c r="I110" s="15" t="s">
        <v>358</v>
      </c>
      <c r="J110" s="15" t="s">
        <v>920</v>
      </c>
      <c r="K110" s="15" t="s">
        <v>358</v>
      </c>
      <c r="L110" s="22" t="s">
        <v>68</v>
      </c>
      <c r="M110" s="15" t="s">
        <v>921</v>
      </c>
      <c r="N110" s="15" t="s">
        <v>922</v>
      </c>
      <c r="O110" s="15" t="s">
        <v>915</v>
      </c>
      <c r="P110" s="15" t="s">
        <v>358</v>
      </c>
      <c r="Q110" s="15" t="s">
        <v>923</v>
      </c>
    </row>
    <row r="111" customFormat="false" ht="57.45" hidden="false" customHeight="false" outlineLevel="0" collapsed="false">
      <c r="A111" s="15" t="s">
        <v>135</v>
      </c>
      <c r="B111" s="15" t="s">
        <v>136</v>
      </c>
      <c r="C111" s="15" t="s">
        <v>137</v>
      </c>
      <c r="D111" s="20" t="s">
        <v>75</v>
      </c>
      <c r="E111" s="15" t="s">
        <v>371</v>
      </c>
      <c r="F111" s="15" t="s">
        <v>924</v>
      </c>
      <c r="G111" s="15" t="s">
        <v>925</v>
      </c>
      <c r="H111" s="15" t="s">
        <v>926</v>
      </c>
      <c r="I111" s="15" t="s">
        <v>358</v>
      </c>
      <c r="J111" s="15" t="s">
        <v>927</v>
      </c>
      <c r="K111" s="15" t="s">
        <v>358</v>
      </c>
      <c r="L111" s="22" t="s">
        <v>68</v>
      </c>
      <c r="M111" s="15" t="s">
        <v>928</v>
      </c>
      <c r="N111" s="15" t="s">
        <v>929</v>
      </c>
      <c r="O111" s="15" t="s">
        <v>915</v>
      </c>
      <c r="P111" s="15" t="s">
        <v>358</v>
      </c>
      <c r="Q111" s="15" t="s">
        <v>930</v>
      </c>
    </row>
    <row r="112" customFormat="false" ht="35.05" hidden="false" customHeight="false" outlineLevel="0" collapsed="false">
      <c r="A112" s="15" t="s">
        <v>281</v>
      </c>
      <c r="B112" s="15" t="s">
        <v>282</v>
      </c>
      <c r="C112" s="15" t="s">
        <v>137</v>
      </c>
      <c r="D112" s="16" t="s">
        <v>73</v>
      </c>
      <c r="E112" s="15" t="s">
        <v>273</v>
      </c>
      <c r="F112" s="15" t="s">
        <v>283</v>
      </c>
      <c r="G112" s="15" t="s">
        <v>355</v>
      </c>
      <c r="H112" s="15" t="s">
        <v>931</v>
      </c>
      <c r="I112" s="15" t="s">
        <v>358</v>
      </c>
      <c r="J112" s="15" t="s">
        <v>358</v>
      </c>
      <c r="K112" s="15" t="s">
        <v>358</v>
      </c>
      <c r="L112" s="21" t="s">
        <v>66</v>
      </c>
      <c r="M112" s="15" t="s">
        <v>284</v>
      </c>
      <c r="N112" s="15" t="s">
        <v>107</v>
      </c>
      <c r="O112" s="15" t="s">
        <v>932</v>
      </c>
      <c r="P112" s="15" t="s">
        <v>105</v>
      </c>
      <c r="Q112" s="15" t="s">
        <v>933</v>
      </c>
    </row>
    <row r="113" customFormat="false" ht="57.45" hidden="false" customHeight="false" outlineLevel="0" collapsed="false">
      <c r="A113" s="15" t="s">
        <v>281</v>
      </c>
      <c r="B113" s="15" t="s">
        <v>282</v>
      </c>
      <c r="C113" s="15" t="s">
        <v>137</v>
      </c>
      <c r="D113" s="19" t="s">
        <v>74</v>
      </c>
      <c r="E113" s="15" t="s">
        <v>890</v>
      </c>
      <c r="F113" s="15" t="s">
        <v>934</v>
      </c>
      <c r="G113" s="15" t="s">
        <v>935</v>
      </c>
      <c r="H113" s="15" t="s">
        <v>931</v>
      </c>
      <c r="I113" s="15" t="s">
        <v>936</v>
      </c>
      <c r="J113" s="15" t="s">
        <v>474</v>
      </c>
      <c r="K113" s="15" t="s">
        <v>358</v>
      </c>
      <c r="L113" s="22" t="s">
        <v>68</v>
      </c>
      <c r="M113" s="15" t="s">
        <v>937</v>
      </c>
      <c r="N113" s="15" t="s">
        <v>938</v>
      </c>
      <c r="O113" s="15" t="s">
        <v>932</v>
      </c>
      <c r="P113" s="15" t="s">
        <v>358</v>
      </c>
      <c r="Q113" s="15" t="s">
        <v>939</v>
      </c>
    </row>
    <row r="114" customFormat="false" ht="79.85" hidden="false" customHeight="false" outlineLevel="0" collapsed="false">
      <c r="A114" s="15" t="s">
        <v>281</v>
      </c>
      <c r="B114" s="15" t="s">
        <v>282</v>
      </c>
      <c r="C114" s="15" t="s">
        <v>137</v>
      </c>
      <c r="D114" s="20" t="s">
        <v>75</v>
      </c>
      <c r="E114" s="15" t="s">
        <v>371</v>
      </c>
      <c r="F114" s="15" t="s">
        <v>940</v>
      </c>
      <c r="G114" s="15" t="s">
        <v>941</v>
      </c>
      <c r="H114" s="15" t="s">
        <v>942</v>
      </c>
      <c r="I114" s="15" t="s">
        <v>936</v>
      </c>
      <c r="J114" s="15" t="s">
        <v>943</v>
      </c>
      <c r="K114" s="15" t="s">
        <v>358</v>
      </c>
      <c r="L114" s="22" t="s">
        <v>68</v>
      </c>
      <c r="M114" s="15" t="s">
        <v>944</v>
      </c>
      <c r="N114" s="15" t="s">
        <v>945</v>
      </c>
      <c r="O114" s="15" t="s">
        <v>932</v>
      </c>
      <c r="P114" s="15" t="s">
        <v>358</v>
      </c>
      <c r="Q114" s="15" t="s">
        <v>946</v>
      </c>
    </row>
    <row r="115" customFormat="false" ht="35.05" hidden="false" customHeight="false" outlineLevel="0" collapsed="false">
      <c r="A115" s="15" t="s">
        <v>162</v>
      </c>
      <c r="B115" s="15" t="s">
        <v>163</v>
      </c>
      <c r="C115" s="15" t="s">
        <v>164</v>
      </c>
      <c r="D115" s="16" t="s">
        <v>73</v>
      </c>
      <c r="E115" s="15" t="s">
        <v>143</v>
      </c>
      <c r="F115" s="15" t="s">
        <v>165</v>
      </c>
      <c r="G115" s="15" t="s">
        <v>355</v>
      </c>
      <c r="H115" s="15" t="s">
        <v>947</v>
      </c>
      <c r="I115" s="15" t="s">
        <v>358</v>
      </c>
      <c r="J115" s="15" t="s">
        <v>358</v>
      </c>
      <c r="K115" s="15" t="s">
        <v>358</v>
      </c>
      <c r="L115" s="21" t="s">
        <v>66</v>
      </c>
      <c r="M115" s="15" t="s">
        <v>166</v>
      </c>
      <c r="N115" s="15" t="s">
        <v>107</v>
      </c>
      <c r="O115" s="15" t="s">
        <v>948</v>
      </c>
      <c r="P115" s="15" t="s">
        <v>105</v>
      </c>
      <c r="Q115" s="15" t="s">
        <v>949</v>
      </c>
    </row>
    <row r="116" customFormat="false" ht="35.05" hidden="false" customHeight="false" outlineLevel="0" collapsed="false">
      <c r="A116" s="15" t="s">
        <v>162</v>
      </c>
      <c r="B116" s="15" t="s">
        <v>163</v>
      </c>
      <c r="C116" s="15" t="s">
        <v>164</v>
      </c>
      <c r="D116" s="19" t="s">
        <v>74</v>
      </c>
      <c r="E116" s="15" t="s">
        <v>215</v>
      </c>
      <c r="F116" s="15" t="s">
        <v>950</v>
      </c>
      <c r="G116" s="15" t="s">
        <v>951</v>
      </c>
      <c r="H116" s="15" t="s">
        <v>952</v>
      </c>
      <c r="I116" s="15" t="s">
        <v>358</v>
      </c>
      <c r="J116" s="15" t="s">
        <v>358</v>
      </c>
      <c r="K116" s="15" t="s">
        <v>358</v>
      </c>
      <c r="L116" s="21" t="s">
        <v>66</v>
      </c>
      <c r="M116" s="15" t="s">
        <v>953</v>
      </c>
      <c r="N116" s="15" t="s">
        <v>107</v>
      </c>
      <c r="O116" s="15" t="s">
        <v>948</v>
      </c>
      <c r="P116" s="15" t="s">
        <v>358</v>
      </c>
      <c r="Q116" s="15" t="s">
        <v>954</v>
      </c>
    </row>
    <row r="117" customFormat="false" ht="46.25" hidden="false" customHeight="false" outlineLevel="0" collapsed="false">
      <c r="A117" s="15" t="s">
        <v>162</v>
      </c>
      <c r="B117" s="15" t="s">
        <v>163</v>
      </c>
      <c r="C117" s="15" t="s">
        <v>164</v>
      </c>
      <c r="D117" s="20" t="s">
        <v>75</v>
      </c>
      <c r="E117" s="15" t="s">
        <v>471</v>
      </c>
      <c r="F117" s="15" t="s">
        <v>955</v>
      </c>
      <c r="G117" s="15" t="s">
        <v>956</v>
      </c>
      <c r="H117" s="15" t="s">
        <v>957</v>
      </c>
      <c r="I117" s="15" t="s">
        <v>358</v>
      </c>
      <c r="J117" s="15" t="s">
        <v>358</v>
      </c>
      <c r="K117" s="15" t="s">
        <v>358</v>
      </c>
      <c r="L117" s="21" t="s">
        <v>66</v>
      </c>
      <c r="M117" s="15" t="s">
        <v>958</v>
      </c>
      <c r="N117" s="15" t="s">
        <v>107</v>
      </c>
      <c r="O117" s="15" t="s">
        <v>948</v>
      </c>
      <c r="P117" s="15" t="s">
        <v>358</v>
      </c>
      <c r="Q117" s="15" t="s">
        <v>959</v>
      </c>
    </row>
    <row r="118" customFormat="false" ht="46.25" hidden="false" customHeight="false" outlineLevel="0" collapsed="false">
      <c r="A118" s="15" t="s">
        <v>167</v>
      </c>
      <c r="B118" s="15" t="s">
        <v>168</v>
      </c>
      <c r="C118" s="15" t="s">
        <v>164</v>
      </c>
      <c r="D118" s="16" t="s">
        <v>73</v>
      </c>
      <c r="E118" s="15" t="s">
        <v>143</v>
      </c>
      <c r="F118" s="15" t="s">
        <v>169</v>
      </c>
      <c r="G118" s="15" t="s">
        <v>355</v>
      </c>
      <c r="H118" s="15" t="s">
        <v>960</v>
      </c>
      <c r="I118" s="15" t="s">
        <v>761</v>
      </c>
      <c r="J118" s="15" t="s">
        <v>358</v>
      </c>
      <c r="K118" s="15" t="s">
        <v>358</v>
      </c>
      <c r="L118" s="18" t="s">
        <v>67</v>
      </c>
      <c r="M118" s="15" t="s">
        <v>170</v>
      </c>
      <c r="N118" s="15" t="s">
        <v>171</v>
      </c>
      <c r="O118" s="15" t="s">
        <v>961</v>
      </c>
      <c r="P118" s="15" t="s">
        <v>105</v>
      </c>
      <c r="Q118" s="15" t="s">
        <v>962</v>
      </c>
    </row>
    <row r="119" customFormat="false" ht="79.85" hidden="false" customHeight="false" outlineLevel="0" collapsed="false">
      <c r="A119" s="15" t="s">
        <v>167</v>
      </c>
      <c r="B119" s="15" t="s">
        <v>168</v>
      </c>
      <c r="C119" s="15" t="s">
        <v>164</v>
      </c>
      <c r="D119" s="19" t="s">
        <v>74</v>
      </c>
      <c r="E119" s="15" t="s">
        <v>215</v>
      </c>
      <c r="F119" s="15" t="s">
        <v>963</v>
      </c>
      <c r="G119" s="15" t="s">
        <v>964</v>
      </c>
      <c r="H119" s="15" t="s">
        <v>965</v>
      </c>
      <c r="I119" s="15" t="s">
        <v>761</v>
      </c>
      <c r="J119" s="15" t="s">
        <v>966</v>
      </c>
      <c r="K119" s="15" t="s">
        <v>530</v>
      </c>
      <c r="L119" s="23" t="s">
        <v>69</v>
      </c>
      <c r="M119" s="15" t="s">
        <v>967</v>
      </c>
      <c r="N119" s="15" t="s">
        <v>968</v>
      </c>
      <c r="O119" s="15" t="s">
        <v>961</v>
      </c>
      <c r="P119" s="15" t="s">
        <v>358</v>
      </c>
      <c r="Q119" s="15" t="s">
        <v>969</v>
      </c>
    </row>
    <row r="120" customFormat="false" ht="79.85" hidden="false" customHeight="false" outlineLevel="0" collapsed="false">
      <c r="A120" s="15" t="s">
        <v>167</v>
      </c>
      <c r="B120" s="15" t="s">
        <v>168</v>
      </c>
      <c r="C120" s="15" t="s">
        <v>164</v>
      </c>
      <c r="D120" s="20" t="s">
        <v>75</v>
      </c>
      <c r="E120" s="15" t="s">
        <v>471</v>
      </c>
      <c r="F120" s="15" t="s">
        <v>970</v>
      </c>
      <c r="G120" s="15" t="s">
        <v>971</v>
      </c>
      <c r="H120" s="15" t="s">
        <v>972</v>
      </c>
      <c r="I120" s="15" t="s">
        <v>761</v>
      </c>
      <c r="J120" s="15" t="s">
        <v>966</v>
      </c>
      <c r="K120" s="15" t="s">
        <v>530</v>
      </c>
      <c r="L120" s="23" t="s">
        <v>69</v>
      </c>
      <c r="M120" s="15" t="s">
        <v>973</v>
      </c>
      <c r="N120" s="15" t="s">
        <v>968</v>
      </c>
      <c r="O120" s="15" t="s">
        <v>961</v>
      </c>
      <c r="P120" s="15" t="s">
        <v>358</v>
      </c>
      <c r="Q120" s="15" t="s">
        <v>974</v>
      </c>
    </row>
    <row r="121" customFormat="false" ht="23.85" hidden="false" customHeight="false" outlineLevel="0" collapsed="false">
      <c r="A121" s="15" t="s">
        <v>173</v>
      </c>
      <c r="B121" s="15" t="s">
        <v>174</v>
      </c>
      <c r="C121" s="15" t="s">
        <v>175</v>
      </c>
      <c r="D121" s="16" t="s">
        <v>73</v>
      </c>
      <c r="E121" s="15" t="s">
        <v>143</v>
      </c>
      <c r="F121" s="15" t="s">
        <v>176</v>
      </c>
      <c r="G121" s="15" t="s">
        <v>355</v>
      </c>
      <c r="H121" s="15" t="s">
        <v>975</v>
      </c>
      <c r="I121" s="15" t="s">
        <v>358</v>
      </c>
      <c r="J121" s="15" t="s">
        <v>358</v>
      </c>
      <c r="K121" s="15" t="s">
        <v>358</v>
      </c>
      <c r="L121" s="21" t="s">
        <v>66</v>
      </c>
      <c r="M121" s="15" t="s">
        <v>177</v>
      </c>
      <c r="N121" s="15" t="s">
        <v>107</v>
      </c>
      <c r="O121" s="15" t="s">
        <v>976</v>
      </c>
      <c r="P121" s="15" t="s">
        <v>105</v>
      </c>
      <c r="Q121" s="15" t="s">
        <v>977</v>
      </c>
    </row>
    <row r="122" customFormat="false" ht="46.25" hidden="false" customHeight="false" outlineLevel="0" collapsed="false">
      <c r="A122" s="15" t="s">
        <v>173</v>
      </c>
      <c r="B122" s="15" t="s">
        <v>174</v>
      </c>
      <c r="C122" s="15" t="s">
        <v>175</v>
      </c>
      <c r="D122" s="19" t="s">
        <v>74</v>
      </c>
      <c r="E122" s="15" t="s">
        <v>215</v>
      </c>
      <c r="F122" s="15" t="s">
        <v>978</v>
      </c>
      <c r="G122" s="15" t="s">
        <v>979</v>
      </c>
      <c r="H122" s="15" t="s">
        <v>980</v>
      </c>
      <c r="I122" s="15" t="s">
        <v>358</v>
      </c>
      <c r="J122" s="15" t="s">
        <v>358</v>
      </c>
      <c r="K122" s="15" t="s">
        <v>358</v>
      </c>
      <c r="L122" s="21" t="s">
        <v>66</v>
      </c>
      <c r="M122" s="15" t="s">
        <v>981</v>
      </c>
      <c r="N122" s="15" t="s">
        <v>107</v>
      </c>
      <c r="O122" s="15" t="s">
        <v>976</v>
      </c>
      <c r="P122" s="15" t="s">
        <v>358</v>
      </c>
      <c r="Q122" s="15" t="s">
        <v>982</v>
      </c>
    </row>
    <row r="123" customFormat="false" ht="68.65" hidden="false" customHeight="false" outlineLevel="0" collapsed="false">
      <c r="A123" s="15" t="s">
        <v>173</v>
      </c>
      <c r="B123" s="15" t="s">
        <v>174</v>
      </c>
      <c r="C123" s="15" t="s">
        <v>175</v>
      </c>
      <c r="D123" s="20" t="s">
        <v>75</v>
      </c>
      <c r="E123" s="15" t="s">
        <v>471</v>
      </c>
      <c r="F123" s="15" t="s">
        <v>983</v>
      </c>
      <c r="G123" s="15" t="s">
        <v>984</v>
      </c>
      <c r="H123" s="15" t="s">
        <v>985</v>
      </c>
      <c r="I123" s="15" t="s">
        <v>358</v>
      </c>
      <c r="J123" s="15" t="s">
        <v>358</v>
      </c>
      <c r="K123" s="15" t="s">
        <v>358</v>
      </c>
      <c r="L123" s="21" t="s">
        <v>66</v>
      </c>
      <c r="M123" s="15" t="s">
        <v>986</v>
      </c>
      <c r="N123" s="15" t="s">
        <v>107</v>
      </c>
      <c r="O123" s="15" t="s">
        <v>976</v>
      </c>
      <c r="P123" s="15" t="s">
        <v>358</v>
      </c>
      <c r="Q123" s="15" t="s">
        <v>987</v>
      </c>
    </row>
    <row r="124" customFormat="false" ht="35.05" hidden="false" customHeight="false" outlineLevel="0" collapsed="false">
      <c r="A124" s="15" t="s">
        <v>178</v>
      </c>
      <c r="B124" s="15" t="s">
        <v>179</v>
      </c>
      <c r="C124" s="15" t="s">
        <v>175</v>
      </c>
      <c r="D124" s="16" t="s">
        <v>73</v>
      </c>
      <c r="E124" s="15" t="s">
        <v>143</v>
      </c>
      <c r="F124" s="15" t="s">
        <v>180</v>
      </c>
      <c r="G124" s="15" t="s">
        <v>355</v>
      </c>
      <c r="H124" s="15" t="s">
        <v>988</v>
      </c>
      <c r="I124" s="15" t="s">
        <v>358</v>
      </c>
      <c r="J124" s="15" t="s">
        <v>358</v>
      </c>
      <c r="K124" s="15" t="s">
        <v>358</v>
      </c>
      <c r="L124" s="21" t="s">
        <v>66</v>
      </c>
      <c r="M124" s="15" t="s">
        <v>181</v>
      </c>
      <c r="N124" s="15" t="s">
        <v>107</v>
      </c>
      <c r="O124" s="15" t="s">
        <v>989</v>
      </c>
      <c r="P124" s="15" t="s">
        <v>105</v>
      </c>
      <c r="Q124" s="15" t="s">
        <v>990</v>
      </c>
    </row>
    <row r="125" customFormat="false" ht="35.05" hidden="false" customHeight="false" outlineLevel="0" collapsed="false">
      <c r="A125" s="15" t="s">
        <v>178</v>
      </c>
      <c r="B125" s="15" t="s">
        <v>179</v>
      </c>
      <c r="C125" s="15" t="s">
        <v>175</v>
      </c>
      <c r="D125" s="19" t="s">
        <v>74</v>
      </c>
      <c r="E125" s="15" t="s">
        <v>215</v>
      </c>
      <c r="F125" s="15" t="s">
        <v>991</v>
      </c>
      <c r="G125" s="15" t="s">
        <v>992</v>
      </c>
      <c r="H125" s="15" t="s">
        <v>993</v>
      </c>
      <c r="I125" s="15" t="s">
        <v>358</v>
      </c>
      <c r="J125" s="15" t="s">
        <v>358</v>
      </c>
      <c r="K125" s="15" t="s">
        <v>358</v>
      </c>
      <c r="L125" s="21" t="s">
        <v>66</v>
      </c>
      <c r="M125" s="15" t="s">
        <v>994</v>
      </c>
      <c r="N125" s="15" t="s">
        <v>107</v>
      </c>
      <c r="O125" s="15" t="s">
        <v>989</v>
      </c>
      <c r="P125" s="15" t="s">
        <v>358</v>
      </c>
      <c r="Q125" s="15" t="s">
        <v>995</v>
      </c>
    </row>
    <row r="126" customFormat="false" ht="46.25" hidden="false" customHeight="false" outlineLevel="0" collapsed="false">
      <c r="A126" s="15" t="s">
        <v>178</v>
      </c>
      <c r="B126" s="15" t="s">
        <v>179</v>
      </c>
      <c r="C126" s="15" t="s">
        <v>175</v>
      </c>
      <c r="D126" s="20" t="s">
        <v>75</v>
      </c>
      <c r="E126" s="15" t="s">
        <v>471</v>
      </c>
      <c r="F126" s="15" t="s">
        <v>996</v>
      </c>
      <c r="G126" s="15" t="s">
        <v>997</v>
      </c>
      <c r="H126" s="15" t="s">
        <v>998</v>
      </c>
      <c r="I126" s="15" t="s">
        <v>358</v>
      </c>
      <c r="J126" s="15" t="s">
        <v>358</v>
      </c>
      <c r="K126" s="15" t="s">
        <v>358</v>
      </c>
      <c r="L126" s="21" t="s">
        <v>66</v>
      </c>
      <c r="M126" s="15" t="s">
        <v>999</v>
      </c>
      <c r="N126" s="15" t="s">
        <v>107</v>
      </c>
      <c r="O126" s="15" t="s">
        <v>989</v>
      </c>
      <c r="P126" s="15" t="s">
        <v>358</v>
      </c>
      <c r="Q126" s="15" t="s">
        <v>1000</v>
      </c>
    </row>
    <row r="127" customFormat="false" ht="57.45" hidden="false" customHeight="false" outlineLevel="0" collapsed="false">
      <c r="A127" s="15" t="s">
        <v>182</v>
      </c>
      <c r="B127" s="15" t="s">
        <v>183</v>
      </c>
      <c r="C127" s="15" t="s">
        <v>184</v>
      </c>
      <c r="D127" s="16" t="s">
        <v>73</v>
      </c>
      <c r="E127" s="15" t="s">
        <v>143</v>
      </c>
      <c r="F127" s="15" t="s">
        <v>185</v>
      </c>
      <c r="G127" s="15" t="s">
        <v>355</v>
      </c>
      <c r="H127" s="15" t="s">
        <v>843</v>
      </c>
      <c r="I127" s="15" t="s">
        <v>1001</v>
      </c>
      <c r="J127" s="15" t="s">
        <v>358</v>
      </c>
      <c r="K127" s="15" t="s">
        <v>358</v>
      </c>
      <c r="L127" s="18" t="s">
        <v>67</v>
      </c>
      <c r="M127" s="15" t="s">
        <v>186</v>
      </c>
      <c r="N127" s="15" t="s">
        <v>187</v>
      </c>
      <c r="O127" s="15" t="s">
        <v>1002</v>
      </c>
      <c r="P127" s="15" t="s">
        <v>105</v>
      </c>
      <c r="Q127" s="15" t="s">
        <v>1003</v>
      </c>
    </row>
    <row r="128" customFormat="false" ht="79.85" hidden="false" customHeight="false" outlineLevel="0" collapsed="false">
      <c r="A128" s="15" t="s">
        <v>182</v>
      </c>
      <c r="B128" s="15" t="s">
        <v>183</v>
      </c>
      <c r="C128" s="15" t="s">
        <v>184</v>
      </c>
      <c r="D128" s="19" t="s">
        <v>74</v>
      </c>
      <c r="E128" s="15" t="s">
        <v>215</v>
      </c>
      <c r="F128" s="15" t="s">
        <v>1004</v>
      </c>
      <c r="G128" s="15" t="s">
        <v>1005</v>
      </c>
      <c r="H128" s="15" t="s">
        <v>843</v>
      </c>
      <c r="I128" s="15" t="s">
        <v>1001</v>
      </c>
      <c r="J128" s="15" t="s">
        <v>474</v>
      </c>
      <c r="K128" s="15" t="s">
        <v>530</v>
      </c>
      <c r="L128" s="23" t="s">
        <v>69</v>
      </c>
      <c r="M128" s="15" t="s">
        <v>1006</v>
      </c>
      <c r="N128" s="15" t="s">
        <v>1007</v>
      </c>
      <c r="O128" s="15" t="s">
        <v>1002</v>
      </c>
      <c r="P128" s="15" t="s">
        <v>358</v>
      </c>
      <c r="Q128" s="15" t="s">
        <v>1008</v>
      </c>
    </row>
    <row r="129" customFormat="false" ht="102.2" hidden="false" customHeight="false" outlineLevel="0" collapsed="false">
      <c r="A129" s="15" t="s">
        <v>182</v>
      </c>
      <c r="B129" s="15" t="s">
        <v>183</v>
      </c>
      <c r="C129" s="15" t="s">
        <v>184</v>
      </c>
      <c r="D129" s="20" t="s">
        <v>75</v>
      </c>
      <c r="E129" s="15" t="s">
        <v>629</v>
      </c>
      <c r="F129" s="15" t="s">
        <v>1009</v>
      </c>
      <c r="G129" s="15" t="s">
        <v>853</v>
      </c>
      <c r="H129" s="15" t="s">
        <v>843</v>
      </c>
      <c r="I129" s="15" t="s">
        <v>1010</v>
      </c>
      <c r="J129" s="15" t="s">
        <v>474</v>
      </c>
      <c r="K129" s="15" t="s">
        <v>530</v>
      </c>
      <c r="L129" s="23" t="s">
        <v>69</v>
      </c>
      <c r="M129" s="15" t="s">
        <v>1011</v>
      </c>
      <c r="N129" s="15" t="s">
        <v>1012</v>
      </c>
      <c r="O129" s="15" t="s">
        <v>1002</v>
      </c>
      <c r="P129" s="15" t="s">
        <v>358</v>
      </c>
      <c r="Q129" s="15" t="s">
        <v>1013</v>
      </c>
    </row>
  </sheetData>
  <autoFilter ref="A3:Q1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9" min="7" style="0" width="34"/>
    <col collapsed="false" customWidth="true" hidden="false" outlineLevel="0" max="10" min="10" style="0" width="30"/>
    <col collapsed="false" customWidth="true" hidden="false" outlineLevel="0" max="11" min="11" style="0" width="26"/>
    <col collapsed="false" customWidth="true" hidden="false" outlineLevel="0" max="12" min="12" style="0" width="9"/>
    <col collapsed="false" customWidth="true" hidden="false" outlineLevel="0" max="14" min="13" style="0" width="46"/>
    <col collapsed="false" customWidth="true" hidden="false" outlineLevel="0" max="15" min="15" style="0" width="32"/>
    <col collapsed="false" customWidth="true" hidden="false" outlineLevel="0" max="16" min="16" style="0" width="40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6" t="s">
        <v>339</v>
      </c>
    </row>
    <row r="3" customFormat="false" ht="42" hidden="false" customHeight="true" outlineLevel="0" collapsed="false">
      <c r="A3" s="14" t="s">
        <v>79</v>
      </c>
      <c r="B3" s="14" t="s">
        <v>80</v>
      </c>
      <c r="C3" s="14" t="s">
        <v>81</v>
      </c>
      <c r="D3" s="14" t="s">
        <v>7</v>
      </c>
      <c r="E3" s="14" t="s">
        <v>340</v>
      </c>
      <c r="F3" s="14" t="s">
        <v>341</v>
      </c>
      <c r="G3" s="14" t="s">
        <v>342</v>
      </c>
      <c r="H3" s="14" t="s">
        <v>343</v>
      </c>
      <c r="I3" s="14" t="s">
        <v>344</v>
      </c>
      <c r="J3" s="14" t="s">
        <v>345</v>
      </c>
      <c r="K3" s="14" t="s">
        <v>346</v>
      </c>
      <c r="L3" s="14" t="s">
        <v>347</v>
      </c>
      <c r="M3" s="14" t="s">
        <v>85</v>
      </c>
      <c r="N3" s="14" t="s">
        <v>348</v>
      </c>
      <c r="O3" s="14" t="s">
        <v>349</v>
      </c>
      <c r="P3" s="14" t="s">
        <v>350</v>
      </c>
      <c r="Q3" s="14" t="s">
        <v>351</v>
      </c>
    </row>
    <row r="4" customFormat="false" ht="46.25" hidden="false" customHeight="false" outlineLevel="0" collapsed="false">
      <c r="A4" s="15" t="s">
        <v>1014</v>
      </c>
      <c r="B4" s="15" t="s">
        <v>1015</v>
      </c>
      <c r="C4" s="15" t="s">
        <v>287</v>
      </c>
      <c r="D4" s="16" t="s">
        <v>73</v>
      </c>
      <c r="E4" s="15" t="s">
        <v>288</v>
      </c>
      <c r="F4" s="15" t="s">
        <v>1016</v>
      </c>
      <c r="G4" s="15" t="s">
        <v>355</v>
      </c>
      <c r="H4" s="15" t="s">
        <v>1017</v>
      </c>
      <c r="I4" s="15" t="s">
        <v>358</v>
      </c>
      <c r="J4" s="15" t="s">
        <v>1018</v>
      </c>
      <c r="K4" s="15" t="s">
        <v>358</v>
      </c>
      <c r="L4" s="22" t="s">
        <v>68</v>
      </c>
      <c r="M4" s="15" t="s">
        <v>1019</v>
      </c>
      <c r="N4" s="15" t="s">
        <v>1020</v>
      </c>
      <c r="O4" s="15" t="s">
        <v>1021</v>
      </c>
      <c r="P4" s="15" t="s">
        <v>105</v>
      </c>
      <c r="Q4" s="15" t="s">
        <v>1022</v>
      </c>
    </row>
    <row r="5" customFormat="false" ht="57.45" hidden="false" customHeight="false" outlineLevel="0" collapsed="false">
      <c r="A5" s="15" t="s">
        <v>1014</v>
      </c>
      <c r="B5" s="15" t="s">
        <v>1015</v>
      </c>
      <c r="C5" s="15" t="s">
        <v>287</v>
      </c>
      <c r="D5" s="19" t="s">
        <v>74</v>
      </c>
      <c r="E5" s="15" t="s">
        <v>215</v>
      </c>
      <c r="F5" s="15" t="s">
        <v>1023</v>
      </c>
      <c r="G5" s="15" t="s">
        <v>1024</v>
      </c>
      <c r="H5" s="15" t="s">
        <v>1025</v>
      </c>
      <c r="I5" s="15" t="s">
        <v>358</v>
      </c>
      <c r="J5" s="15" t="s">
        <v>1018</v>
      </c>
      <c r="K5" s="15" t="s">
        <v>358</v>
      </c>
      <c r="L5" s="22" t="s">
        <v>68</v>
      </c>
      <c r="M5" s="15" t="s">
        <v>1026</v>
      </c>
      <c r="N5" s="15" t="s">
        <v>1020</v>
      </c>
      <c r="O5" s="15" t="s">
        <v>1021</v>
      </c>
      <c r="P5" s="15" t="s">
        <v>358</v>
      </c>
      <c r="Q5" s="15" t="s">
        <v>1027</v>
      </c>
    </row>
    <row r="6" customFormat="false" ht="68.65" hidden="false" customHeight="false" outlineLevel="0" collapsed="false">
      <c r="A6" s="15" t="s">
        <v>1014</v>
      </c>
      <c r="B6" s="15" t="s">
        <v>1015</v>
      </c>
      <c r="C6" s="15" t="s">
        <v>287</v>
      </c>
      <c r="D6" s="20" t="s">
        <v>75</v>
      </c>
      <c r="E6" s="15" t="s">
        <v>629</v>
      </c>
      <c r="F6" s="15" t="s">
        <v>1028</v>
      </c>
      <c r="G6" s="15" t="s">
        <v>1029</v>
      </c>
      <c r="H6" s="15" t="s">
        <v>1025</v>
      </c>
      <c r="I6" s="15" t="s">
        <v>358</v>
      </c>
      <c r="J6" s="15" t="s">
        <v>1030</v>
      </c>
      <c r="K6" s="15" t="s">
        <v>358</v>
      </c>
      <c r="L6" s="22" t="s">
        <v>68</v>
      </c>
      <c r="M6" s="15" t="s">
        <v>1031</v>
      </c>
      <c r="N6" s="15" t="s">
        <v>1032</v>
      </c>
      <c r="O6" s="15" t="s">
        <v>1021</v>
      </c>
      <c r="P6" s="15" t="s">
        <v>358</v>
      </c>
      <c r="Q6" s="15" t="s">
        <v>1033</v>
      </c>
    </row>
    <row r="7" customFormat="false" ht="35.05" hidden="false" customHeight="false" outlineLevel="0" collapsed="false">
      <c r="A7" s="15" t="s">
        <v>1034</v>
      </c>
      <c r="B7" s="15" t="s">
        <v>1035</v>
      </c>
      <c r="C7" s="15" t="s">
        <v>287</v>
      </c>
      <c r="D7" s="16" t="s">
        <v>73</v>
      </c>
      <c r="E7" s="15" t="s">
        <v>288</v>
      </c>
      <c r="F7" s="15" t="s">
        <v>1036</v>
      </c>
      <c r="G7" s="15" t="s">
        <v>355</v>
      </c>
      <c r="H7" s="15" t="s">
        <v>1037</v>
      </c>
      <c r="I7" s="15" t="s">
        <v>358</v>
      </c>
      <c r="J7" s="15" t="s">
        <v>920</v>
      </c>
      <c r="K7" s="15" t="s">
        <v>358</v>
      </c>
      <c r="L7" s="22" t="s">
        <v>68</v>
      </c>
      <c r="M7" s="15" t="s">
        <v>1038</v>
      </c>
      <c r="N7" s="15" t="s">
        <v>922</v>
      </c>
      <c r="O7" s="15" t="s">
        <v>1039</v>
      </c>
      <c r="P7" s="15" t="s">
        <v>105</v>
      </c>
      <c r="Q7" s="15" t="s">
        <v>1040</v>
      </c>
    </row>
    <row r="8" customFormat="false" ht="46.25" hidden="false" customHeight="false" outlineLevel="0" collapsed="false">
      <c r="A8" s="15" t="s">
        <v>1034</v>
      </c>
      <c r="B8" s="15" t="s">
        <v>1035</v>
      </c>
      <c r="C8" s="15" t="s">
        <v>287</v>
      </c>
      <c r="D8" s="19" t="s">
        <v>74</v>
      </c>
      <c r="E8" s="15" t="s">
        <v>215</v>
      </c>
      <c r="F8" s="15" t="s">
        <v>1041</v>
      </c>
      <c r="G8" s="15" t="s">
        <v>1042</v>
      </c>
      <c r="H8" s="15" t="s">
        <v>1043</v>
      </c>
      <c r="I8" s="15" t="s">
        <v>358</v>
      </c>
      <c r="J8" s="15" t="s">
        <v>920</v>
      </c>
      <c r="K8" s="15" t="s">
        <v>358</v>
      </c>
      <c r="L8" s="22" t="s">
        <v>68</v>
      </c>
      <c r="M8" s="15" t="s">
        <v>1044</v>
      </c>
      <c r="N8" s="15" t="s">
        <v>922</v>
      </c>
      <c r="O8" s="15" t="s">
        <v>1039</v>
      </c>
      <c r="P8" s="15" t="s">
        <v>358</v>
      </c>
      <c r="Q8" s="15" t="s">
        <v>1045</v>
      </c>
    </row>
    <row r="9" customFormat="false" ht="57.45" hidden="false" customHeight="false" outlineLevel="0" collapsed="false">
      <c r="A9" s="15" t="s">
        <v>1034</v>
      </c>
      <c r="B9" s="15" t="s">
        <v>1035</v>
      </c>
      <c r="C9" s="15" t="s">
        <v>287</v>
      </c>
      <c r="D9" s="20" t="s">
        <v>75</v>
      </c>
      <c r="E9" s="15" t="s">
        <v>629</v>
      </c>
      <c r="F9" s="15" t="s">
        <v>1046</v>
      </c>
      <c r="G9" s="15" t="s">
        <v>1047</v>
      </c>
      <c r="H9" s="15" t="s">
        <v>1048</v>
      </c>
      <c r="I9" s="15" t="s">
        <v>358</v>
      </c>
      <c r="J9" s="15" t="s">
        <v>1049</v>
      </c>
      <c r="K9" s="15" t="s">
        <v>358</v>
      </c>
      <c r="L9" s="22" t="s">
        <v>68</v>
      </c>
      <c r="M9" s="15" t="s">
        <v>1050</v>
      </c>
      <c r="N9" s="15" t="s">
        <v>1051</v>
      </c>
      <c r="O9" s="15" t="s">
        <v>1039</v>
      </c>
      <c r="P9" s="15" t="s">
        <v>358</v>
      </c>
      <c r="Q9" s="15" t="s">
        <v>1052</v>
      </c>
    </row>
    <row r="10" customFormat="false" ht="35.05" hidden="false" customHeight="false" outlineLevel="0" collapsed="false">
      <c r="A10" s="15" t="s">
        <v>1053</v>
      </c>
      <c r="B10" s="15" t="s">
        <v>1054</v>
      </c>
      <c r="C10" s="15" t="s">
        <v>1055</v>
      </c>
      <c r="D10" s="16" t="s">
        <v>73</v>
      </c>
      <c r="E10" s="15" t="s">
        <v>288</v>
      </c>
      <c r="F10" s="15" t="s">
        <v>1056</v>
      </c>
      <c r="G10" s="15" t="s">
        <v>355</v>
      </c>
      <c r="H10" s="15" t="s">
        <v>358</v>
      </c>
      <c r="I10" s="15" t="s">
        <v>358</v>
      </c>
      <c r="J10" s="15" t="s">
        <v>1057</v>
      </c>
      <c r="K10" s="15" t="s">
        <v>358</v>
      </c>
      <c r="L10" s="22" t="s">
        <v>68</v>
      </c>
      <c r="M10" s="15" t="s">
        <v>1058</v>
      </c>
      <c r="N10" s="15" t="s">
        <v>1059</v>
      </c>
      <c r="O10" s="15" t="s">
        <v>1060</v>
      </c>
      <c r="P10" s="15" t="s">
        <v>105</v>
      </c>
      <c r="Q10" s="15" t="s">
        <v>1061</v>
      </c>
    </row>
    <row r="11" customFormat="false" ht="57.45" hidden="false" customHeight="false" outlineLevel="0" collapsed="false">
      <c r="A11" s="15" t="s">
        <v>1053</v>
      </c>
      <c r="B11" s="15" t="s">
        <v>1054</v>
      </c>
      <c r="C11" s="15" t="s">
        <v>1055</v>
      </c>
      <c r="D11" s="19" t="s">
        <v>74</v>
      </c>
      <c r="E11" s="15" t="s">
        <v>215</v>
      </c>
      <c r="F11" s="15" t="s">
        <v>1062</v>
      </c>
      <c r="G11" s="15" t="s">
        <v>1063</v>
      </c>
      <c r="H11" s="15" t="s">
        <v>1064</v>
      </c>
      <c r="I11" s="15" t="s">
        <v>1065</v>
      </c>
      <c r="J11" s="15" t="s">
        <v>927</v>
      </c>
      <c r="K11" s="15" t="s">
        <v>358</v>
      </c>
      <c r="L11" s="22" t="s">
        <v>68</v>
      </c>
      <c r="M11" s="15" t="s">
        <v>1066</v>
      </c>
      <c r="N11" s="15" t="s">
        <v>1067</v>
      </c>
      <c r="O11" s="15" t="s">
        <v>1060</v>
      </c>
      <c r="P11" s="15" t="s">
        <v>358</v>
      </c>
      <c r="Q11" s="15" t="s">
        <v>1068</v>
      </c>
    </row>
    <row r="12" customFormat="false" ht="79.85" hidden="false" customHeight="false" outlineLevel="0" collapsed="false">
      <c r="A12" s="15" t="s">
        <v>1053</v>
      </c>
      <c r="B12" s="15" t="s">
        <v>1054</v>
      </c>
      <c r="C12" s="15" t="s">
        <v>1055</v>
      </c>
      <c r="D12" s="20" t="s">
        <v>75</v>
      </c>
      <c r="E12" s="15" t="s">
        <v>629</v>
      </c>
      <c r="F12" s="15" t="s">
        <v>1069</v>
      </c>
      <c r="G12" s="15" t="s">
        <v>1070</v>
      </c>
      <c r="H12" s="15" t="s">
        <v>1071</v>
      </c>
      <c r="I12" s="15" t="s">
        <v>1072</v>
      </c>
      <c r="J12" s="15" t="s">
        <v>927</v>
      </c>
      <c r="K12" s="15" t="s">
        <v>358</v>
      </c>
      <c r="L12" s="22" t="s">
        <v>68</v>
      </c>
      <c r="M12" s="15" t="s">
        <v>1073</v>
      </c>
      <c r="N12" s="15" t="s">
        <v>1074</v>
      </c>
      <c r="O12" s="15" t="s">
        <v>1060</v>
      </c>
      <c r="P12" s="15" t="s">
        <v>358</v>
      </c>
      <c r="Q12" s="15" t="s">
        <v>1075</v>
      </c>
    </row>
    <row r="13" customFormat="false" ht="57.45" hidden="false" customHeight="false" outlineLevel="0" collapsed="false">
      <c r="A13" s="15" t="s">
        <v>1076</v>
      </c>
      <c r="B13" s="15" t="s">
        <v>1077</v>
      </c>
      <c r="C13" s="15" t="s">
        <v>1078</v>
      </c>
      <c r="D13" s="16" t="s">
        <v>73</v>
      </c>
      <c r="E13" s="15" t="s">
        <v>288</v>
      </c>
      <c r="F13" s="15" t="s">
        <v>1079</v>
      </c>
      <c r="G13" s="15" t="s">
        <v>355</v>
      </c>
      <c r="H13" s="15" t="s">
        <v>358</v>
      </c>
      <c r="I13" s="15" t="s">
        <v>559</v>
      </c>
      <c r="J13" s="15" t="s">
        <v>1080</v>
      </c>
      <c r="K13" s="15" t="s">
        <v>358</v>
      </c>
      <c r="L13" s="22" t="s">
        <v>68</v>
      </c>
      <c r="M13" s="15" t="s">
        <v>1081</v>
      </c>
      <c r="N13" s="15" t="s">
        <v>1082</v>
      </c>
      <c r="O13" s="15" t="s">
        <v>1083</v>
      </c>
      <c r="P13" s="15" t="s">
        <v>105</v>
      </c>
      <c r="Q13" s="15" t="s">
        <v>1084</v>
      </c>
    </row>
    <row r="14" customFormat="false" ht="68.65" hidden="false" customHeight="false" outlineLevel="0" collapsed="false">
      <c r="A14" s="15" t="s">
        <v>1076</v>
      </c>
      <c r="B14" s="15" t="s">
        <v>1077</v>
      </c>
      <c r="C14" s="15" t="s">
        <v>1078</v>
      </c>
      <c r="D14" s="19" t="s">
        <v>74</v>
      </c>
      <c r="E14" s="15" t="s">
        <v>215</v>
      </c>
      <c r="F14" s="15" t="s">
        <v>1085</v>
      </c>
      <c r="G14" s="15" t="s">
        <v>1086</v>
      </c>
      <c r="H14" s="15" t="s">
        <v>1087</v>
      </c>
      <c r="I14" s="15" t="s">
        <v>559</v>
      </c>
      <c r="J14" s="15" t="s">
        <v>1088</v>
      </c>
      <c r="K14" s="15" t="s">
        <v>358</v>
      </c>
      <c r="L14" s="22" t="s">
        <v>68</v>
      </c>
      <c r="M14" s="15" t="s">
        <v>1089</v>
      </c>
      <c r="N14" s="15" t="s">
        <v>1090</v>
      </c>
      <c r="O14" s="15" t="s">
        <v>1083</v>
      </c>
      <c r="P14" s="15" t="s">
        <v>358</v>
      </c>
      <c r="Q14" s="15" t="s">
        <v>1091</v>
      </c>
    </row>
    <row r="15" customFormat="false" ht="79.85" hidden="false" customHeight="false" outlineLevel="0" collapsed="false">
      <c r="A15" s="15" t="s">
        <v>1076</v>
      </c>
      <c r="B15" s="15" t="s">
        <v>1077</v>
      </c>
      <c r="C15" s="15" t="s">
        <v>1078</v>
      </c>
      <c r="D15" s="20" t="s">
        <v>75</v>
      </c>
      <c r="E15" s="15" t="s">
        <v>629</v>
      </c>
      <c r="F15" s="15" t="s">
        <v>1092</v>
      </c>
      <c r="G15" s="15" t="s">
        <v>1093</v>
      </c>
      <c r="H15" s="15" t="s">
        <v>1087</v>
      </c>
      <c r="I15" s="15" t="s">
        <v>559</v>
      </c>
      <c r="J15" s="15" t="s">
        <v>1094</v>
      </c>
      <c r="K15" s="15" t="s">
        <v>358</v>
      </c>
      <c r="L15" s="22" t="s">
        <v>68</v>
      </c>
      <c r="M15" s="15" t="s">
        <v>1095</v>
      </c>
      <c r="N15" s="15" t="s">
        <v>1096</v>
      </c>
      <c r="O15" s="15" t="s">
        <v>1083</v>
      </c>
      <c r="P15" s="15" t="s">
        <v>358</v>
      </c>
      <c r="Q15" s="15" t="s">
        <v>1097</v>
      </c>
    </row>
    <row r="16" customFormat="false" ht="23.85" hidden="false" customHeight="false" outlineLevel="0" collapsed="false">
      <c r="A16" s="15" t="s">
        <v>285</v>
      </c>
      <c r="B16" s="15" t="s">
        <v>286</v>
      </c>
      <c r="C16" s="15" t="s">
        <v>287</v>
      </c>
      <c r="D16" s="16" t="s">
        <v>73</v>
      </c>
      <c r="E16" s="15" t="s">
        <v>288</v>
      </c>
      <c r="F16" s="15" t="s">
        <v>289</v>
      </c>
      <c r="G16" s="15" t="s">
        <v>355</v>
      </c>
      <c r="H16" s="15" t="s">
        <v>621</v>
      </c>
      <c r="I16" s="15" t="s">
        <v>358</v>
      </c>
      <c r="J16" s="15" t="s">
        <v>358</v>
      </c>
      <c r="K16" s="15" t="s">
        <v>358</v>
      </c>
      <c r="L16" s="21" t="s">
        <v>66</v>
      </c>
      <c r="M16" s="15" t="s">
        <v>290</v>
      </c>
      <c r="N16" s="15" t="s">
        <v>107</v>
      </c>
      <c r="O16" s="15" t="s">
        <v>1098</v>
      </c>
      <c r="P16" s="15" t="s">
        <v>105</v>
      </c>
      <c r="Q16" s="15" t="s">
        <v>1099</v>
      </c>
    </row>
    <row r="17" customFormat="false" ht="46.25" hidden="false" customHeight="false" outlineLevel="0" collapsed="false">
      <c r="A17" s="15" t="s">
        <v>285</v>
      </c>
      <c r="B17" s="15" t="s">
        <v>286</v>
      </c>
      <c r="C17" s="15" t="s">
        <v>287</v>
      </c>
      <c r="D17" s="19" t="s">
        <v>74</v>
      </c>
      <c r="E17" s="15" t="s">
        <v>215</v>
      </c>
      <c r="F17" s="15" t="s">
        <v>1100</v>
      </c>
      <c r="G17" s="15" t="s">
        <v>1101</v>
      </c>
      <c r="H17" s="15" t="s">
        <v>1102</v>
      </c>
      <c r="I17" s="15" t="s">
        <v>358</v>
      </c>
      <c r="J17" s="15" t="s">
        <v>1103</v>
      </c>
      <c r="K17" s="15" t="s">
        <v>358</v>
      </c>
      <c r="L17" s="22" t="s">
        <v>68</v>
      </c>
      <c r="M17" s="15" t="s">
        <v>1104</v>
      </c>
      <c r="N17" s="15" t="s">
        <v>1105</v>
      </c>
      <c r="O17" s="15" t="s">
        <v>1098</v>
      </c>
      <c r="P17" s="15" t="s">
        <v>358</v>
      </c>
      <c r="Q17" s="15" t="s">
        <v>1106</v>
      </c>
    </row>
    <row r="18" customFormat="false" ht="46.25" hidden="false" customHeight="false" outlineLevel="0" collapsed="false">
      <c r="A18" s="15" t="s">
        <v>285</v>
      </c>
      <c r="B18" s="15" t="s">
        <v>286</v>
      </c>
      <c r="C18" s="15" t="s">
        <v>287</v>
      </c>
      <c r="D18" s="20" t="s">
        <v>75</v>
      </c>
      <c r="E18" s="15" t="s">
        <v>629</v>
      </c>
      <c r="F18" s="15" t="s">
        <v>1107</v>
      </c>
      <c r="G18" s="15" t="s">
        <v>1108</v>
      </c>
      <c r="H18" s="15" t="s">
        <v>1109</v>
      </c>
      <c r="I18" s="15" t="s">
        <v>358</v>
      </c>
      <c r="J18" s="15" t="s">
        <v>1110</v>
      </c>
      <c r="K18" s="15" t="s">
        <v>358</v>
      </c>
      <c r="L18" s="22" t="s">
        <v>68</v>
      </c>
      <c r="M18" s="15" t="s">
        <v>1111</v>
      </c>
      <c r="N18" s="15" t="s">
        <v>1112</v>
      </c>
      <c r="O18" s="15" t="s">
        <v>1098</v>
      </c>
      <c r="P18" s="15" t="s">
        <v>358</v>
      </c>
      <c r="Q18" s="15" t="s">
        <v>1113</v>
      </c>
    </row>
    <row r="19" customFormat="false" ht="35.05" hidden="false" customHeight="false" outlineLevel="0" collapsed="false">
      <c r="A19" s="15" t="s">
        <v>1114</v>
      </c>
      <c r="B19" s="15" t="s">
        <v>1115</v>
      </c>
      <c r="C19" s="15" t="s">
        <v>1116</v>
      </c>
      <c r="D19" s="16" t="s">
        <v>73</v>
      </c>
      <c r="E19" s="15" t="s">
        <v>288</v>
      </c>
      <c r="F19" s="15" t="s">
        <v>1117</v>
      </c>
      <c r="G19" s="15" t="s">
        <v>355</v>
      </c>
      <c r="H19" s="15" t="s">
        <v>1118</v>
      </c>
      <c r="I19" s="15" t="s">
        <v>358</v>
      </c>
      <c r="J19" s="15" t="s">
        <v>587</v>
      </c>
      <c r="K19" s="15" t="s">
        <v>358</v>
      </c>
      <c r="L19" s="22" t="s">
        <v>68</v>
      </c>
      <c r="M19" s="15" t="s">
        <v>1119</v>
      </c>
      <c r="N19" s="15" t="s">
        <v>589</v>
      </c>
      <c r="O19" s="15" t="s">
        <v>1120</v>
      </c>
      <c r="P19" s="15" t="s">
        <v>105</v>
      </c>
      <c r="Q19" s="15" t="s">
        <v>1121</v>
      </c>
    </row>
    <row r="20" customFormat="false" ht="57.45" hidden="false" customHeight="false" outlineLevel="0" collapsed="false">
      <c r="A20" s="15" t="s">
        <v>1114</v>
      </c>
      <c r="B20" s="15" t="s">
        <v>1115</v>
      </c>
      <c r="C20" s="15" t="s">
        <v>1116</v>
      </c>
      <c r="D20" s="19" t="s">
        <v>74</v>
      </c>
      <c r="E20" s="15" t="s">
        <v>215</v>
      </c>
      <c r="F20" s="15" t="s">
        <v>1122</v>
      </c>
      <c r="G20" s="15" t="s">
        <v>1123</v>
      </c>
      <c r="H20" s="15" t="s">
        <v>1118</v>
      </c>
      <c r="I20" s="15" t="s">
        <v>594</v>
      </c>
      <c r="J20" s="15" t="s">
        <v>1124</v>
      </c>
      <c r="K20" s="15" t="s">
        <v>358</v>
      </c>
      <c r="L20" s="22" t="s">
        <v>68</v>
      </c>
      <c r="M20" s="15" t="s">
        <v>1125</v>
      </c>
      <c r="N20" s="15" t="s">
        <v>1126</v>
      </c>
      <c r="O20" s="15" t="s">
        <v>1120</v>
      </c>
      <c r="P20" s="15" t="s">
        <v>358</v>
      </c>
      <c r="Q20" s="15" t="s">
        <v>1127</v>
      </c>
    </row>
    <row r="21" customFormat="false" ht="68.65" hidden="false" customHeight="false" outlineLevel="0" collapsed="false">
      <c r="A21" s="15" t="s">
        <v>1114</v>
      </c>
      <c r="B21" s="15" t="s">
        <v>1115</v>
      </c>
      <c r="C21" s="15" t="s">
        <v>1116</v>
      </c>
      <c r="D21" s="20" t="s">
        <v>75</v>
      </c>
      <c r="E21" s="15" t="s">
        <v>629</v>
      </c>
      <c r="F21" s="15" t="s">
        <v>1128</v>
      </c>
      <c r="G21" s="15" t="s">
        <v>1129</v>
      </c>
      <c r="H21" s="15" t="s">
        <v>1118</v>
      </c>
      <c r="I21" s="15" t="s">
        <v>594</v>
      </c>
      <c r="J21" s="15" t="s">
        <v>1130</v>
      </c>
      <c r="K21" s="15" t="s">
        <v>358</v>
      </c>
      <c r="L21" s="22" t="s">
        <v>68</v>
      </c>
      <c r="M21" s="15" t="s">
        <v>1131</v>
      </c>
      <c r="N21" s="15" t="s">
        <v>1132</v>
      </c>
      <c r="O21" s="15" t="s">
        <v>1120</v>
      </c>
      <c r="P21" s="15" t="s">
        <v>358</v>
      </c>
      <c r="Q21" s="15" t="s">
        <v>1133</v>
      </c>
    </row>
    <row r="22" customFormat="false" ht="35.05" hidden="false" customHeight="false" outlineLevel="0" collapsed="false">
      <c r="A22" s="15" t="s">
        <v>291</v>
      </c>
      <c r="B22" s="15" t="s">
        <v>292</v>
      </c>
      <c r="C22" s="15" t="s">
        <v>293</v>
      </c>
      <c r="D22" s="16" t="s">
        <v>73</v>
      </c>
      <c r="E22" s="15" t="s">
        <v>288</v>
      </c>
      <c r="F22" s="15" t="s">
        <v>294</v>
      </c>
      <c r="G22" s="15" t="s">
        <v>355</v>
      </c>
      <c r="H22" s="15" t="s">
        <v>1134</v>
      </c>
      <c r="I22" s="15" t="s">
        <v>358</v>
      </c>
      <c r="J22" s="15" t="s">
        <v>358</v>
      </c>
      <c r="K22" s="15" t="s">
        <v>358</v>
      </c>
      <c r="L22" s="21" t="s">
        <v>66</v>
      </c>
      <c r="M22" s="15" t="s">
        <v>295</v>
      </c>
      <c r="N22" s="15" t="s">
        <v>107</v>
      </c>
      <c r="O22" s="15" t="s">
        <v>1135</v>
      </c>
      <c r="P22" s="15" t="s">
        <v>105</v>
      </c>
      <c r="Q22" s="15" t="s">
        <v>1136</v>
      </c>
    </row>
    <row r="23" customFormat="false" ht="57.45" hidden="false" customHeight="false" outlineLevel="0" collapsed="false">
      <c r="A23" s="15" t="s">
        <v>291</v>
      </c>
      <c r="B23" s="15" t="s">
        <v>292</v>
      </c>
      <c r="C23" s="15" t="s">
        <v>293</v>
      </c>
      <c r="D23" s="19" t="s">
        <v>74</v>
      </c>
      <c r="E23" s="15" t="s">
        <v>215</v>
      </c>
      <c r="F23" s="15" t="s">
        <v>1137</v>
      </c>
      <c r="G23" s="15" t="s">
        <v>1138</v>
      </c>
      <c r="H23" s="15" t="s">
        <v>1134</v>
      </c>
      <c r="I23" s="15" t="s">
        <v>498</v>
      </c>
      <c r="J23" s="15" t="s">
        <v>920</v>
      </c>
      <c r="K23" s="15" t="s">
        <v>358</v>
      </c>
      <c r="L23" s="22" t="s">
        <v>68</v>
      </c>
      <c r="M23" s="15" t="s">
        <v>1139</v>
      </c>
      <c r="N23" s="15" t="s">
        <v>1140</v>
      </c>
      <c r="O23" s="15" t="s">
        <v>1135</v>
      </c>
      <c r="P23" s="15" t="s">
        <v>358</v>
      </c>
      <c r="Q23" s="15" t="s">
        <v>1141</v>
      </c>
    </row>
    <row r="24" customFormat="false" ht="68.65" hidden="false" customHeight="false" outlineLevel="0" collapsed="false">
      <c r="A24" s="15" t="s">
        <v>291</v>
      </c>
      <c r="B24" s="15" t="s">
        <v>292</v>
      </c>
      <c r="C24" s="15" t="s">
        <v>293</v>
      </c>
      <c r="D24" s="20" t="s">
        <v>75</v>
      </c>
      <c r="E24" s="15" t="s">
        <v>629</v>
      </c>
      <c r="F24" s="15" t="s">
        <v>1142</v>
      </c>
      <c r="G24" s="15" t="s">
        <v>827</v>
      </c>
      <c r="H24" s="15" t="s">
        <v>1143</v>
      </c>
      <c r="I24" s="15" t="s">
        <v>498</v>
      </c>
      <c r="J24" s="15" t="s">
        <v>927</v>
      </c>
      <c r="K24" s="15" t="s">
        <v>358</v>
      </c>
      <c r="L24" s="22" t="s">
        <v>68</v>
      </c>
      <c r="M24" s="15" t="s">
        <v>1144</v>
      </c>
      <c r="N24" s="15" t="s">
        <v>1145</v>
      </c>
      <c r="O24" s="15" t="s">
        <v>1135</v>
      </c>
      <c r="P24" s="15" t="s">
        <v>358</v>
      </c>
      <c r="Q24" s="15" t="s">
        <v>1146</v>
      </c>
    </row>
  </sheetData>
  <autoFilter ref="A3:Q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9" min="7" style="0" width="34"/>
    <col collapsed="false" customWidth="true" hidden="false" outlineLevel="0" max="10" min="10" style="0" width="30"/>
    <col collapsed="false" customWidth="true" hidden="false" outlineLevel="0" max="11" min="11" style="0" width="26"/>
    <col collapsed="false" customWidth="true" hidden="false" outlineLevel="0" max="12" min="12" style="0" width="9"/>
    <col collapsed="false" customWidth="true" hidden="false" outlineLevel="0" max="14" min="13" style="0" width="46"/>
    <col collapsed="false" customWidth="true" hidden="false" outlineLevel="0" max="15" min="15" style="0" width="32"/>
    <col collapsed="false" customWidth="true" hidden="false" outlineLevel="0" max="16" min="16" style="0" width="40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6" t="s">
        <v>339</v>
      </c>
    </row>
    <row r="3" customFormat="false" ht="42" hidden="false" customHeight="true" outlineLevel="0" collapsed="false">
      <c r="A3" s="14" t="s">
        <v>79</v>
      </c>
      <c r="B3" s="14" t="s">
        <v>80</v>
      </c>
      <c r="C3" s="14" t="s">
        <v>81</v>
      </c>
      <c r="D3" s="14" t="s">
        <v>7</v>
      </c>
      <c r="E3" s="14" t="s">
        <v>340</v>
      </c>
      <c r="F3" s="14" t="s">
        <v>341</v>
      </c>
      <c r="G3" s="14" t="s">
        <v>342</v>
      </c>
      <c r="H3" s="14" t="s">
        <v>343</v>
      </c>
      <c r="I3" s="14" t="s">
        <v>344</v>
      </c>
      <c r="J3" s="14" t="s">
        <v>345</v>
      </c>
      <c r="K3" s="14" t="s">
        <v>346</v>
      </c>
      <c r="L3" s="14" t="s">
        <v>347</v>
      </c>
      <c r="M3" s="14" t="s">
        <v>85</v>
      </c>
      <c r="N3" s="14" t="s">
        <v>348</v>
      </c>
      <c r="O3" s="14" t="s">
        <v>349</v>
      </c>
      <c r="P3" s="14" t="s">
        <v>350</v>
      </c>
      <c r="Q3" s="14" t="s">
        <v>351</v>
      </c>
    </row>
    <row r="4" customFormat="false" ht="23.85" hidden="false" customHeight="false" outlineLevel="0" collapsed="false">
      <c r="A4" s="15" t="s">
        <v>296</v>
      </c>
      <c r="B4" s="15" t="s">
        <v>297</v>
      </c>
      <c r="C4" s="15" t="s">
        <v>298</v>
      </c>
      <c r="D4" s="16" t="s">
        <v>73</v>
      </c>
      <c r="E4" s="15" t="s">
        <v>299</v>
      </c>
      <c r="F4" s="15" t="s">
        <v>300</v>
      </c>
      <c r="G4" s="15" t="s">
        <v>355</v>
      </c>
      <c r="H4" s="15" t="s">
        <v>1147</v>
      </c>
      <c r="I4" s="15" t="s">
        <v>358</v>
      </c>
      <c r="J4" s="15" t="s">
        <v>358</v>
      </c>
      <c r="K4" s="15" t="s">
        <v>358</v>
      </c>
      <c r="L4" s="21" t="s">
        <v>66</v>
      </c>
      <c r="M4" s="15" t="s">
        <v>301</v>
      </c>
      <c r="N4" s="15" t="s">
        <v>107</v>
      </c>
      <c r="O4" s="15" t="s">
        <v>1148</v>
      </c>
      <c r="P4" s="15" t="s">
        <v>105</v>
      </c>
      <c r="Q4" s="15" t="s">
        <v>1149</v>
      </c>
    </row>
    <row r="5" customFormat="false" ht="46.25" hidden="false" customHeight="false" outlineLevel="0" collapsed="false">
      <c r="A5" s="15" t="s">
        <v>296</v>
      </c>
      <c r="B5" s="15" t="s">
        <v>297</v>
      </c>
      <c r="C5" s="15" t="s">
        <v>298</v>
      </c>
      <c r="D5" s="19" t="s">
        <v>74</v>
      </c>
      <c r="E5" s="15" t="s">
        <v>299</v>
      </c>
      <c r="F5" s="15" t="s">
        <v>1150</v>
      </c>
      <c r="G5" s="15" t="s">
        <v>1151</v>
      </c>
      <c r="H5" s="15" t="s">
        <v>1147</v>
      </c>
      <c r="I5" s="15" t="s">
        <v>872</v>
      </c>
      <c r="J5" s="15" t="s">
        <v>1152</v>
      </c>
      <c r="K5" s="15" t="s">
        <v>358</v>
      </c>
      <c r="L5" s="22" t="s">
        <v>68</v>
      </c>
      <c r="M5" s="15" t="s">
        <v>1153</v>
      </c>
      <c r="N5" s="15" t="s">
        <v>1154</v>
      </c>
      <c r="O5" s="15" t="s">
        <v>1148</v>
      </c>
      <c r="P5" s="15" t="s">
        <v>358</v>
      </c>
      <c r="Q5" s="15" t="s">
        <v>1155</v>
      </c>
    </row>
    <row r="6" customFormat="false" ht="57.45" hidden="false" customHeight="false" outlineLevel="0" collapsed="false">
      <c r="A6" s="15" t="s">
        <v>296</v>
      </c>
      <c r="B6" s="15" t="s">
        <v>297</v>
      </c>
      <c r="C6" s="15" t="s">
        <v>298</v>
      </c>
      <c r="D6" s="20" t="s">
        <v>75</v>
      </c>
      <c r="E6" s="15" t="s">
        <v>299</v>
      </c>
      <c r="F6" s="15" t="s">
        <v>1156</v>
      </c>
      <c r="G6" s="15" t="s">
        <v>956</v>
      </c>
      <c r="H6" s="15" t="s">
        <v>1157</v>
      </c>
      <c r="I6" s="15" t="s">
        <v>872</v>
      </c>
      <c r="J6" s="15" t="s">
        <v>1152</v>
      </c>
      <c r="K6" s="15" t="s">
        <v>358</v>
      </c>
      <c r="L6" s="22" t="s">
        <v>68</v>
      </c>
      <c r="M6" s="15" t="s">
        <v>1158</v>
      </c>
      <c r="N6" s="15" t="s">
        <v>1154</v>
      </c>
      <c r="O6" s="15" t="s">
        <v>1148</v>
      </c>
      <c r="P6" s="15" t="s">
        <v>358</v>
      </c>
      <c r="Q6" s="15" t="s">
        <v>1159</v>
      </c>
    </row>
    <row r="7" customFormat="false" ht="35.05" hidden="false" customHeight="false" outlineLevel="0" collapsed="false">
      <c r="A7" s="15" t="s">
        <v>1160</v>
      </c>
      <c r="B7" s="15" t="s">
        <v>1161</v>
      </c>
      <c r="C7" s="15" t="s">
        <v>1162</v>
      </c>
      <c r="D7" s="16" t="s">
        <v>73</v>
      </c>
      <c r="E7" s="15" t="s">
        <v>299</v>
      </c>
      <c r="F7" s="15" t="s">
        <v>1163</v>
      </c>
      <c r="G7" s="15" t="s">
        <v>355</v>
      </c>
      <c r="H7" s="15" t="s">
        <v>356</v>
      </c>
      <c r="I7" s="15" t="s">
        <v>358</v>
      </c>
      <c r="J7" s="15" t="s">
        <v>1164</v>
      </c>
      <c r="K7" s="15" t="s">
        <v>358</v>
      </c>
      <c r="L7" s="22" t="s">
        <v>68</v>
      </c>
      <c r="M7" s="15" t="s">
        <v>1165</v>
      </c>
      <c r="N7" s="15" t="s">
        <v>1166</v>
      </c>
      <c r="O7" s="15" t="s">
        <v>1167</v>
      </c>
      <c r="P7" s="15" t="s">
        <v>105</v>
      </c>
      <c r="Q7" s="15" t="s">
        <v>1168</v>
      </c>
    </row>
    <row r="8" customFormat="false" ht="46.25" hidden="false" customHeight="false" outlineLevel="0" collapsed="false">
      <c r="A8" s="15" t="s">
        <v>1160</v>
      </c>
      <c r="B8" s="15" t="s">
        <v>1161</v>
      </c>
      <c r="C8" s="15" t="s">
        <v>1162</v>
      </c>
      <c r="D8" s="19" t="s">
        <v>74</v>
      </c>
      <c r="E8" s="15" t="s">
        <v>299</v>
      </c>
      <c r="F8" s="15" t="s">
        <v>1169</v>
      </c>
      <c r="G8" s="15" t="s">
        <v>1170</v>
      </c>
      <c r="H8" s="15" t="s">
        <v>1171</v>
      </c>
      <c r="I8" s="15" t="s">
        <v>358</v>
      </c>
      <c r="J8" s="15" t="s">
        <v>1172</v>
      </c>
      <c r="K8" s="15" t="s">
        <v>358</v>
      </c>
      <c r="L8" s="22" t="s">
        <v>68</v>
      </c>
      <c r="M8" s="15" t="s">
        <v>1173</v>
      </c>
      <c r="N8" s="15" t="s">
        <v>1174</v>
      </c>
      <c r="O8" s="15" t="s">
        <v>1167</v>
      </c>
      <c r="P8" s="15" t="s">
        <v>358</v>
      </c>
      <c r="Q8" s="15" t="s">
        <v>1175</v>
      </c>
    </row>
    <row r="9" customFormat="false" ht="57.45" hidden="false" customHeight="false" outlineLevel="0" collapsed="false">
      <c r="A9" s="15" t="s">
        <v>1160</v>
      </c>
      <c r="B9" s="15" t="s">
        <v>1161</v>
      </c>
      <c r="C9" s="15" t="s">
        <v>1162</v>
      </c>
      <c r="D9" s="20" t="s">
        <v>75</v>
      </c>
      <c r="E9" s="15" t="s">
        <v>299</v>
      </c>
      <c r="F9" s="15" t="s">
        <v>1176</v>
      </c>
      <c r="G9" s="15" t="s">
        <v>1177</v>
      </c>
      <c r="H9" s="15" t="s">
        <v>1171</v>
      </c>
      <c r="I9" s="15" t="s">
        <v>358</v>
      </c>
      <c r="J9" s="15" t="s">
        <v>1172</v>
      </c>
      <c r="K9" s="15" t="s">
        <v>1178</v>
      </c>
      <c r="L9" s="24" t="s">
        <v>70</v>
      </c>
      <c r="M9" s="15" t="s">
        <v>1179</v>
      </c>
      <c r="N9" s="15" t="s">
        <v>1180</v>
      </c>
      <c r="O9" s="15" t="s">
        <v>1167</v>
      </c>
      <c r="P9" s="15" t="s">
        <v>358</v>
      </c>
      <c r="Q9" s="15" t="s">
        <v>1181</v>
      </c>
    </row>
    <row r="10" customFormat="false" ht="35.05" hidden="false" customHeight="false" outlineLevel="0" collapsed="false">
      <c r="A10" s="15" t="s">
        <v>303</v>
      </c>
      <c r="B10" s="15" t="s">
        <v>304</v>
      </c>
      <c r="C10" s="15" t="s">
        <v>305</v>
      </c>
      <c r="D10" s="16" t="s">
        <v>73</v>
      </c>
      <c r="E10" s="15" t="s">
        <v>299</v>
      </c>
      <c r="F10" s="15" t="s">
        <v>306</v>
      </c>
      <c r="G10" s="15" t="s">
        <v>355</v>
      </c>
      <c r="H10" s="15" t="s">
        <v>1182</v>
      </c>
      <c r="I10" s="15" t="s">
        <v>872</v>
      </c>
      <c r="J10" s="15" t="s">
        <v>358</v>
      </c>
      <c r="K10" s="15" t="s">
        <v>358</v>
      </c>
      <c r="L10" s="18" t="s">
        <v>67</v>
      </c>
      <c r="M10" s="15" t="s">
        <v>307</v>
      </c>
      <c r="N10" s="15" t="s">
        <v>134</v>
      </c>
      <c r="O10" s="15" t="s">
        <v>1183</v>
      </c>
      <c r="P10" s="15" t="s">
        <v>105</v>
      </c>
      <c r="Q10" s="15" t="s">
        <v>1184</v>
      </c>
    </row>
    <row r="11" customFormat="false" ht="46.25" hidden="false" customHeight="false" outlineLevel="0" collapsed="false">
      <c r="A11" s="15" t="s">
        <v>303</v>
      </c>
      <c r="B11" s="15" t="s">
        <v>304</v>
      </c>
      <c r="C11" s="15" t="s">
        <v>305</v>
      </c>
      <c r="D11" s="19" t="s">
        <v>74</v>
      </c>
      <c r="E11" s="15" t="s">
        <v>299</v>
      </c>
      <c r="F11" s="15" t="s">
        <v>1185</v>
      </c>
      <c r="G11" s="15" t="s">
        <v>1186</v>
      </c>
      <c r="H11" s="15" t="s">
        <v>1187</v>
      </c>
      <c r="I11" s="15" t="s">
        <v>872</v>
      </c>
      <c r="J11" s="15" t="s">
        <v>358</v>
      </c>
      <c r="K11" s="15" t="s">
        <v>1178</v>
      </c>
      <c r="L11" s="24" t="s">
        <v>70</v>
      </c>
      <c r="M11" s="15" t="s">
        <v>1188</v>
      </c>
      <c r="N11" s="15" t="s">
        <v>1189</v>
      </c>
      <c r="O11" s="15" t="s">
        <v>1183</v>
      </c>
      <c r="P11" s="15" t="s">
        <v>358</v>
      </c>
      <c r="Q11" s="15" t="s">
        <v>1190</v>
      </c>
    </row>
    <row r="12" customFormat="false" ht="57.45" hidden="false" customHeight="false" outlineLevel="0" collapsed="false">
      <c r="A12" s="15" t="s">
        <v>303</v>
      </c>
      <c r="B12" s="15" t="s">
        <v>304</v>
      </c>
      <c r="C12" s="15" t="s">
        <v>305</v>
      </c>
      <c r="D12" s="20" t="s">
        <v>75</v>
      </c>
      <c r="E12" s="15" t="s">
        <v>299</v>
      </c>
      <c r="F12" s="15" t="s">
        <v>1191</v>
      </c>
      <c r="G12" s="15" t="s">
        <v>1129</v>
      </c>
      <c r="H12" s="15" t="s">
        <v>1187</v>
      </c>
      <c r="I12" s="15" t="s">
        <v>872</v>
      </c>
      <c r="J12" s="15" t="s">
        <v>966</v>
      </c>
      <c r="K12" s="15" t="s">
        <v>1178</v>
      </c>
      <c r="L12" s="24" t="s">
        <v>70</v>
      </c>
      <c r="M12" s="15" t="s">
        <v>1192</v>
      </c>
      <c r="N12" s="15" t="s">
        <v>1193</v>
      </c>
      <c r="O12" s="15" t="s">
        <v>1183</v>
      </c>
      <c r="P12" s="15" t="s">
        <v>358</v>
      </c>
      <c r="Q12" s="15" t="s">
        <v>1194</v>
      </c>
    </row>
    <row r="13" customFormat="false" ht="35.05" hidden="false" customHeight="false" outlineLevel="0" collapsed="false">
      <c r="A13" s="15" t="s">
        <v>1195</v>
      </c>
      <c r="B13" s="15" t="s">
        <v>1196</v>
      </c>
      <c r="C13" s="15" t="s">
        <v>1197</v>
      </c>
      <c r="D13" s="16" t="s">
        <v>73</v>
      </c>
      <c r="E13" s="15" t="s">
        <v>299</v>
      </c>
      <c r="F13" s="15" t="s">
        <v>1198</v>
      </c>
      <c r="G13" s="15" t="s">
        <v>355</v>
      </c>
      <c r="H13" s="15" t="s">
        <v>1182</v>
      </c>
      <c r="I13" s="15" t="s">
        <v>358</v>
      </c>
      <c r="J13" s="15" t="s">
        <v>1199</v>
      </c>
      <c r="K13" s="15" t="s">
        <v>358</v>
      </c>
      <c r="L13" s="22" t="s">
        <v>68</v>
      </c>
      <c r="M13" s="15" t="s">
        <v>1200</v>
      </c>
      <c r="N13" s="15" t="s">
        <v>1201</v>
      </c>
      <c r="O13" s="15" t="s">
        <v>1202</v>
      </c>
      <c r="P13" s="15" t="s">
        <v>105</v>
      </c>
      <c r="Q13" s="15" t="s">
        <v>1203</v>
      </c>
    </row>
    <row r="14" customFormat="false" ht="57.45" hidden="false" customHeight="false" outlineLevel="0" collapsed="false">
      <c r="A14" s="15" t="s">
        <v>1195</v>
      </c>
      <c r="B14" s="15" t="s">
        <v>1196</v>
      </c>
      <c r="C14" s="15" t="s">
        <v>1197</v>
      </c>
      <c r="D14" s="19" t="s">
        <v>74</v>
      </c>
      <c r="E14" s="15" t="s">
        <v>299</v>
      </c>
      <c r="F14" s="15" t="s">
        <v>1204</v>
      </c>
      <c r="G14" s="15" t="s">
        <v>1205</v>
      </c>
      <c r="H14" s="15" t="s">
        <v>1182</v>
      </c>
      <c r="I14" s="15" t="s">
        <v>872</v>
      </c>
      <c r="J14" s="15" t="s">
        <v>1206</v>
      </c>
      <c r="K14" s="15" t="s">
        <v>358</v>
      </c>
      <c r="L14" s="22" t="s">
        <v>68</v>
      </c>
      <c r="M14" s="15" t="s">
        <v>1207</v>
      </c>
      <c r="N14" s="15" t="s">
        <v>1208</v>
      </c>
      <c r="O14" s="15" t="s">
        <v>1202</v>
      </c>
      <c r="P14" s="15" t="s">
        <v>358</v>
      </c>
      <c r="Q14" s="15" t="s">
        <v>1209</v>
      </c>
    </row>
    <row r="15" customFormat="false" ht="57.45" hidden="false" customHeight="false" outlineLevel="0" collapsed="false">
      <c r="A15" s="15" t="s">
        <v>1195</v>
      </c>
      <c r="B15" s="15" t="s">
        <v>1196</v>
      </c>
      <c r="C15" s="15" t="s">
        <v>1197</v>
      </c>
      <c r="D15" s="20" t="s">
        <v>75</v>
      </c>
      <c r="E15" s="15" t="s">
        <v>299</v>
      </c>
      <c r="F15" s="15" t="s">
        <v>1210</v>
      </c>
      <c r="G15" s="15" t="s">
        <v>473</v>
      </c>
      <c r="H15" s="15" t="s">
        <v>1182</v>
      </c>
      <c r="I15" s="15" t="s">
        <v>872</v>
      </c>
      <c r="J15" s="15" t="s">
        <v>1211</v>
      </c>
      <c r="K15" s="15" t="s">
        <v>358</v>
      </c>
      <c r="L15" s="22" t="s">
        <v>68</v>
      </c>
      <c r="M15" s="15" t="s">
        <v>1212</v>
      </c>
      <c r="N15" s="15" t="s">
        <v>1213</v>
      </c>
      <c r="O15" s="15" t="s">
        <v>1202</v>
      </c>
      <c r="P15" s="15" t="s">
        <v>358</v>
      </c>
      <c r="Q15" s="15" t="s">
        <v>1214</v>
      </c>
    </row>
    <row r="16" customFormat="false" ht="35.05" hidden="false" customHeight="false" outlineLevel="0" collapsed="false">
      <c r="A16" s="15" t="s">
        <v>1215</v>
      </c>
      <c r="B16" s="15" t="s">
        <v>1216</v>
      </c>
      <c r="C16" s="15" t="s">
        <v>1217</v>
      </c>
      <c r="D16" s="16" t="s">
        <v>73</v>
      </c>
      <c r="E16" s="15" t="s">
        <v>299</v>
      </c>
      <c r="F16" s="15" t="s">
        <v>1218</v>
      </c>
      <c r="G16" s="15" t="s">
        <v>355</v>
      </c>
      <c r="H16" s="15" t="s">
        <v>1118</v>
      </c>
      <c r="I16" s="15" t="s">
        <v>358</v>
      </c>
      <c r="J16" s="15" t="s">
        <v>474</v>
      </c>
      <c r="K16" s="15" t="s">
        <v>358</v>
      </c>
      <c r="L16" s="22" t="s">
        <v>68</v>
      </c>
      <c r="M16" s="15" t="s">
        <v>1219</v>
      </c>
      <c r="N16" s="15" t="s">
        <v>476</v>
      </c>
      <c r="O16" s="15" t="s">
        <v>1220</v>
      </c>
      <c r="P16" s="15" t="s">
        <v>105</v>
      </c>
      <c r="Q16" s="15" t="s">
        <v>1221</v>
      </c>
    </row>
    <row r="17" customFormat="false" ht="68.65" hidden="false" customHeight="false" outlineLevel="0" collapsed="false">
      <c r="A17" s="15" t="s">
        <v>1215</v>
      </c>
      <c r="B17" s="15" t="s">
        <v>1216</v>
      </c>
      <c r="C17" s="15" t="s">
        <v>1217</v>
      </c>
      <c r="D17" s="19" t="s">
        <v>74</v>
      </c>
      <c r="E17" s="15" t="s">
        <v>299</v>
      </c>
      <c r="F17" s="15" t="s">
        <v>1222</v>
      </c>
      <c r="G17" s="15" t="s">
        <v>1223</v>
      </c>
      <c r="H17" s="15" t="s">
        <v>1224</v>
      </c>
      <c r="I17" s="15" t="s">
        <v>872</v>
      </c>
      <c r="J17" s="15" t="s">
        <v>1225</v>
      </c>
      <c r="K17" s="15" t="s">
        <v>358</v>
      </c>
      <c r="L17" s="22" t="s">
        <v>68</v>
      </c>
      <c r="M17" s="15" t="s">
        <v>1226</v>
      </c>
      <c r="N17" s="15" t="s">
        <v>1227</v>
      </c>
      <c r="O17" s="15" t="s">
        <v>1220</v>
      </c>
      <c r="P17" s="15" t="s">
        <v>358</v>
      </c>
      <c r="Q17" s="15" t="s">
        <v>1228</v>
      </c>
    </row>
    <row r="18" customFormat="false" ht="68.65" hidden="false" customHeight="false" outlineLevel="0" collapsed="false">
      <c r="A18" s="15" t="s">
        <v>1215</v>
      </c>
      <c r="B18" s="15" t="s">
        <v>1216</v>
      </c>
      <c r="C18" s="15" t="s">
        <v>1217</v>
      </c>
      <c r="D18" s="20" t="s">
        <v>75</v>
      </c>
      <c r="E18" s="15" t="s">
        <v>299</v>
      </c>
      <c r="F18" s="15" t="s">
        <v>1229</v>
      </c>
      <c r="G18" s="15" t="s">
        <v>1170</v>
      </c>
      <c r="H18" s="15" t="s">
        <v>1230</v>
      </c>
      <c r="I18" s="15" t="s">
        <v>872</v>
      </c>
      <c r="J18" s="15" t="s">
        <v>1231</v>
      </c>
      <c r="K18" s="15" t="s">
        <v>358</v>
      </c>
      <c r="L18" s="22" t="s">
        <v>68</v>
      </c>
      <c r="M18" s="15" t="s">
        <v>1232</v>
      </c>
      <c r="N18" s="15" t="s">
        <v>1233</v>
      </c>
      <c r="O18" s="15" t="s">
        <v>1220</v>
      </c>
      <c r="P18" s="15" t="s">
        <v>358</v>
      </c>
      <c r="Q18" s="15" t="s">
        <v>1234</v>
      </c>
    </row>
    <row r="19" customFormat="false" ht="35.05" hidden="false" customHeight="false" outlineLevel="0" collapsed="false">
      <c r="A19" s="15" t="s">
        <v>309</v>
      </c>
      <c r="B19" s="15" t="s">
        <v>310</v>
      </c>
      <c r="C19" s="15" t="s">
        <v>311</v>
      </c>
      <c r="D19" s="16" t="s">
        <v>73</v>
      </c>
      <c r="E19" s="15" t="s">
        <v>299</v>
      </c>
      <c r="F19" s="15" t="s">
        <v>312</v>
      </c>
      <c r="G19" s="15" t="s">
        <v>355</v>
      </c>
      <c r="H19" s="15" t="s">
        <v>960</v>
      </c>
      <c r="I19" s="15" t="s">
        <v>1235</v>
      </c>
      <c r="J19" s="15" t="s">
        <v>358</v>
      </c>
      <c r="K19" s="15" t="s">
        <v>358</v>
      </c>
      <c r="L19" s="18" t="s">
        <v>67</v>
      </c>
      <c r="M19" s="15" t="s">
        <v>313</v>
      </c>
      <c r="N19" s="15" t="s">
        <v>314</v>
      </c>
      <c r="O19" s="15" t="s">
        <v>1236</v>
      </c>
      <c r="P19" s="15" t="s">
        <v>105</v>
      </c>
      <c r="Q19" s="15" t="s">
        <v>1237</v>
      </c>
    </row>
    <row r="20" customFormat="false" ht="57.45" hidden="false" customHeight="false" outlineLevel="0" collapsed="false">
      <c r="A20" s="15" t="s">
        <v>309</v>
      </c>
      <c r="B20" s="15" t="s">
        <v>310</v>
      </c>
      <c r="C20" s="15" t="s">
        <v>311</v>
      </c>
      <c r="D20" s="19" t="s">
        <v>74</v>
      </c>
      <c r="E20" s="15" t="s">
        <v>299</v>
      </c>
      <c r="F20" s="15" t="s">
        <v>1238</v>
      </c>
      <c r="G20" s="15" t="s">
        <v>1239</v>
      </c>
      <c r="H20" s="15" t="s">
        <v>960</v>
      </c>
      <c r="I20" s="15" t="s">
        <v>1235</v>
      </c>
      <c r="J20" s="15" t="s">
        <v>1240</v>
      </c>
      <c r="K20" s="15" t="s">
        <v>358</v>
      </c>
      <c r="L20" s="22" t="s">
        <v>68</v>
      </c>
      <c r="M20" s="15" t="s">
        <v>1241</v>
      </c>
      <c r="N20" s="15" t="s">
        <v>1242</v>
      </c>
      <c r="O20" s="15" t="s">
        <v>1236</v>
      </c>
      <c r="P20" s="15" t="s">
        <v>358</v>
      </c>
      <c r="Q20" s="15" t="s">
        <v>1243</v>
      </c>
    </row>
    <row r="21" customFormat="false" ht="79.85" hidden="false" customHeight="false" outlineLevel="0" collapsed="false">
      <c r="A21" s="15" t="s">
        <v>309</v>
      </c>
      <c r="B21" s="15" t="s">
        <v>310</v>
      </c>
      <c r="C21" s="15" t="s">
        <v>311</v>
      </c>
      <c r="D21" s="20" t="s">
        <v>75</v>
      </c>
      <c r="E21" s="15" t="s">
        <v>299</v>
      </c>
      <c r="F21" s="15" t="s">
        <v>1244</v>
      </c>
      <c r="G21" s="15" t="s">
        <v>1245</v>
      </c>
      <c r="H21" s="15" t="s">
        <v>960</v>
      </c>
      <c r="I21" s="15" t="s">
        <v>1235</v>
      </c>
      <c r="J21" s="15" t="s">
        <v>1240</v>
      </c>
      <c r="K21" s="15" t="s">
        <v>1246</v>
      </c>
      <c r="L21" s="24" t="s">
        <v>70</v>
      </c>
      <c r="M21" s="15" t="s">
        <v>1247</v>
      </c>
      <c r="N21" s="15" t="s">
        <v>1248</v>
      </c>
      <c r="O21" s="15" t="s">
        <v>1236</v>
      </c>
      <c r="P21" s="15" t="s">
        <v>358</v>
      </c>
      <c r="Q21" s="15" t="s">
        <v>1249</v>
      </c>
    </row>
  </sheetData>
  <autoFilter ref="A3:Q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9" min="7" style="0" width="34"/>
    <col collapsed="false" customWidth="true" hidden="false" outlineLevel="0" max="10" min="10" style="0" width="30"/>
    <col collapsed="false" customWidth="true" hidden="false" outlineLevel="0" max="11" min="11" style="0" width="26"/>
    <col collapsed="false" customWidth="true" hidden="false" outlineLevel="0" max="12" min="12" style="0" width="9"/>
    <col collapsed="false" customWidth="true" hidden="false" outlineLevel="0" max="14" min="13" style="0" width="46"/>
    <col collapsed="false" customWidth="true" hidden="false" outlineLevel="0" max="15" min="15" style="0" width="32"/>
    <col collapsed="false" customWidth="true" hidden="false" outlineLevel="0" max="16" min="16" style="0" width="40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6" t="s">
        <v>339</v>
      </c>
    </row>
    <row r="3" customFormat="false" ht="42" hidden="false" customHeight="true" outlineLevel="0" collapsed="false">
      <c r="A3" s="14" t="s">
        <v>79</v>
      </c>
      <c r="B3" s="14" t="s">
        <v>80</v>
      </c>
      <c r="C3" s="14" t="s">
        <v>81</v>
      </c>
      <c r="D3" s="14" t="s">
        <v>7</v>
      </c>
      <c r="E3" s="14" t="s">
        <v>340</v>
      </c>
      <c r="F3" s="14" t="s">
        <v>341</v>
      </c>
      <c r="G3" s="14" t="s">
        <v>342</v>
      </c>
      <c r="H3" s="14" t="s">
        <v>343</v>
      </c>
      <c r="I3" s="14" t="s">
        <v>344</v>
      </c>
      <c r="J3" s="14" t="s">
        <v>345</v>
      </c>
      <c r="K3" s="14" t="s">
        <v>346</v>
      </c>
      <c r="L3" s="14" t="s">
        <v>347</v>
      </c>
      <c r="M3" s="14" t="s">
        <v>85</v>
      </c>
      <c r="N3" s="14" t="s">
        <v>348</v>
      </c>
      <c r="O3" s="14" t="s">
        <v>349</v>
      </c>
      <c r="P3" s="14" t="s">
        <v>350</v>
      </c>
      <c r="Q3" s="14" t="s">
        <v>351</v>
      </c>
    </row>
    <row r="4" customFormat="false" ht="35.05" hidden="false" customHeight="false" outlineLevel="0" collapsed="false">
      <c r="A4" s="15" t="s">
        <v>316</v>
      </c>
      <c r="B4" s="15" t="s">
        <v>317</v>
      </c>
      <c r="C4" s="15" t="s">
        <v>318</v>
      </c>
      <c r="D4" s="16" t="s">
        <v>73</v>
      </c>
      <c r="E4" s="15" t="s">
        <v>319</v>
      </c>
      <c r="F4" s="15" t="s">
        <v>320</v>
      </c>
      <c r="G4" s="15" t="s">
        <v>355</v>
      </c>
      <c r="H4" s="15" t="s">
        <v>1250</v>
      </c>
      <c r="I4" s="15" t="s">
        <v>358</v>
      </c>
      <c r="J4" s="15" t="s">
        <v>358</v>
      </c>
      <c r="K4" s="15" t="s">
        <v>358</v>
      </c>
      <c r="L4" s="21" t="s">
        <v>66</v>
      </c>
      <c r="M4" s="15" t="s">
        <v>322</v>
      </c>
      <c r="N4" s="15" t="s">
        <v>107</v>
      </c>
      <c r="O4" s="15" t="s">
        <v>1251</v>
      </c>
      <c r="P4" s="15" t="s">
        <v>321</v>
      </c>
      <c r="Q4" s="15" t="s">
        <v>1252</v>
      </c>
    </row>
    <row r="5" customFormat="false" ht="57.45" hidden="false" customHeight="false" outlineLevel="0" collapsed="false">
      <c r="A5" s="15" t="s">
        <v>316</v>
      </c>
      <c r="B5" s="15" t="s">
        <v>317</v>
      </c>
      <c r="C5" s="15" t="s">
        <v>318</v>
      </c>
      <c r="D5" s="19" t="s">
        <v>74</v>
      </c>
      <c r="E5" s="15" t="s">
        <v>371</v>
      </c>
      <c r="F5" s="15" t="s">
        <v>1253</v>
      </c>
      <c r="G5" s="15" t="s">
        <v>1254</v>
      </c>
      <c r="H5" s="15" t="s">
        <v>1255</v>
      </c>
      <c r="I5" s="15" t="s">
        <v>358</v>
      </c>
      <c r="J5" s="15" t="s">
        <v>358</v>
      </c>
      <c r="K5" s="15" t="s">
        <v>358</v>
      </c>
      <c r="L5" s="21" t="s">
        <v>66</v>
      </c>
      <c r="M5" s="15" t="s">
        <v>1256</v>
      </c>
      <c r="N5" s="15" t="s">
        <v>107</v>
      </c>
      <c r="O5" s="15" t="s">
        <v>1251</v>
      </c>
      <c r="P5" s="15" t="s">
        <v>358</v>
      </c>
      <c r="Q5" s="15" t="s">
        <v>1257</v>
      </c>
    </row>
    <row r="6" customFormat="false" ht="68.65" hidden="false" customHeight="false" outlineLevel="0" collapsed="false">
      <c r="A6" s="15" t="s">
        <v>316</v>
      </c>
      <c r="B6" s="15" t="s">
        <v>317</v>
      </c>
      <c r="C6" s="15" t="s">
        <v>318</v>
      </c>
      <c r="D6" s="20" t="s">
        <v>75</v>
      </c>
      <c r="E6" s="15" t="s">
        <v>471</v>
      </c>
      <c r="F6" s="15" t="s">
        <v>1258</v>
      </c>
      <c r="G6" s="15" t="s">
        <v>1259</v>
      </c>
      <c r="H6" s="15" t="s">
        <v>1260</v>
      </c>
      <c r="I6" s="15" t="s">
        <v>358</v>
      </c>
      <c r="J6" s="15" t="s">
        <v>358</v>
      </c>
      <c r="K6" s="15" t="s">
        <v>358</v>
      </c>
      <c r="L6" s="21" t="s">
        <v>66</v>
      </c>
      <c r="M6" s="15" t="s">
        <v>1261</v>
      </c>
      <c r="N6" s="15" t="s">
        <v>107</v>
      </c>
      <c r="O6" s="15" t="s">
        <v>1251</v>
      </c>
      <c r="P6" s="15" t="s">
        <v>358</v>
      </c>
      <c r="Q6" s="15" t="s">
        <v>1262</v>
      </c>
    </row>
    <row r="7" customFormat="false" ht="23.85" hidden="false" customHeight="false" outlineLevel="0" collapsed="false">
      <c r="A7" s="15" t="s">
        <v>323</v>
      </c>
      <c r="B7" s="15" t="s">
        <v>324</v>
      </c>
      <c r="C7" s="15" t="s">
        <v>325</v>
      </c>
      <c r="D7" s="16" t="s">
        <v>73</v>
      </c>
      <c r="E7" s="15" t="s">
        <v>319</v>
      </c>
      <c r="F7" s="15" t="s">
        <v>326</v>
      </c>
      <c r="G7" s="15" t="s">
        <v>355</v>
      </c>
      <c r="H7" s="15" t="s">
        <v>1263</v>
      </c>
      <c r="I7" s="15" t="s">
        <v>358</v>
      </c>
      <c r="J7" s="15" t="s">
        <v>358</v>
      </c>
      <c r="K7" s="15" t="s">
        <v>358</v>
      </c>
      <c r="L7" s="21" t="s">
        <v>66</v>
      </c>
      <c r="M7" s="15" t="s">
        <v>327</v>
      </c>
      <c r="N7" s="15" t="s">
        <v>107</v>
      </c>
      <c r="O7" s="15" t="s">
        <v>1264</v>
      </c>
      <c r="P7" s="15" t="s">
        <v>105</v>
      </c>
      <c r="Q7" s="15" t="s">
        <v>1265</v>
      </c>
    </row>
    <row r="8" customFormat="false" ht="46.25" hidden="false" customHeight="false" outlineLevel="0" collapsed="false">
      <c r="A8" s="15" t="s">
        <v>323</v>
      </c>
      <c r="B8" s="15" t="s">
        <v>324</v>
      </c>
      <c r="C8" s="15" t="s">
        <v>325</v>
      </c>
      <c r="D8" s="19" t="s">
        <v>74</v>
      </c>
      <c r="E8" s="15" t="s">
        <v>371</v>
      </c>
      <c r="F8" s="15" t="s">
        <v>1266</v>
      </c>
      <c r="G8" s="15" t="s">
        <v>1267</v>
      </c>
      <c r="H8" s="15" t="s">
        <v>1268</v>
      </c>
      <c r="I8" s="15" t="s">
        <v>1235</v>
      </c>
      <c r="J8" s="15" t="s">
        <v>358</v>
      </c>
      <c r="K8" s="15" t="s">
        <v>358</v>
      </c>
      <c r="L8" s="18" t="s">
        <v>67</v>
      </c>
      <c r="M8" s="15" t="s">
        <v>1269</v>
      </c>
      <c r="N8" s="15" t="s">
        <v>314</v>
      </c>
      <c r="O8" s="15" t="s">
        <v>1264</v>
      </c>
      <c r="P8" s="15" t="s">
        <v>358</v>
      </c>
      <c r="Q8" s="15" t="s">
        <v>1270</v>
      </c>
    </row>
    <row r="9" customFormat="false" ht="57.45" hidden="false" customHeight="false" outlineLevel="0" collapsed="false">
      <c r="A9" s="15" t="s">
        <v>323</v>
      </c>
      <c r="B9" s="15" t="s">
        <v>324</v>
      </c>
      <c r="C9" s="15" t="s">
        <v>325</v>
      </c>
      <c r="D9" s="20" t="s">
        <v>75</v>
      </c>
      <c r="E9" s="15" t="s">
        <v>471</v>
      </c>
      <c r="F9" s="15" t="s">
        <v>1271</v>
      </c>
      <c r="G9" s="15" t="s">
        <v>1272</v>
      </c>
      <c r="H9" s="15" t="s">
        <v>1273</v>
      </c>
      <c r="I9" s="15" t="s">
        <v>1235</v>
      </c>
      <c r="J9" s="15" t="s">
        <v>358</v>
      </c>
      <c r="K9" s="15" t="s">
        <v>358</v>
      </c>
      <c r="L9" s="18" t="s">
        <v>67</v>
      </c>
      <c r="M9" s="15" t="s">
        <v>1274</v>
      </c>
      <c r="N9" s="15" t="s">
        <v>314</v>
      </c>
      <c r="O9" s="15" t="s">
        <v>1264</v>
      </c>
      <c r="P9" s="15" t="s">
        <v>358</v>
      </c>
      <c r="Q9" s="15" t="s">
        <v>1275</v>
      </c>
    </row>
    <row r="10" customFormat="false" ht="35.05" hidden="false" customHeight="false" outlineLevel="0" collapsed="false">
      <c r="A10" s="15" t="s">
        <v>328</v>
      </c>
      <c r="B10" s="15" t="s">
        <v>329</v>
      </c>
      <c r="C10" s="15" t="s">
        <v>330</v>
      </c>
      <c r="D10" s="16" t="s">
        <v>73</v>
      </c>
      <c r="E10" s="15" t="s">
        <v>319</v>
      </c>
      <c r="F10" s="15" t="s">
        <v>331</v>
      </c>
      <c r="G10" s="15" t="s">
        <v>355</v>
      </c>
      <c r="H10" s="15" t="s">
        <v>1276</v>
      </c>
      <c r="I10" s="15" t="s">
        <v>1235</v>
      </c>
      <c r="J10" s="15" t="s">
        <v>358</v>
      </c>
      <c r="K10" s="15" t="s">
        <v>358</v>
      </c>
      <c r="L10" s="18" t="s">
        <v>67</v>
      </c>
      <c r="M10" s="15" t="s">
        <v>332</v>
      </c>
      <c r="N10" s="15" t="s">
        <v>314</v>
      </c>
      <c r="O10" s="15" t="s">
        <v>1277</v>
      </c>
      <c r="P10" s="15" t="s">
        <v>105</v>
      </c>
      <c r="Q10" s="15" t="s">
        <v>1278</v>
      </c>
    </row>
    <row r="11" customFormat="false" ht="46.25" hidden="false" customHeight="false" outlineLevel="0" collapsed="false">
      <c r="A11" s="15" t="s">
        <v>328</v>
      </c>
      <c r="B11" s="15" t="s">
        <v>329</v>
      </c>
      <c r="C11" s="15" t="s">
        <v>330</v>
      </c>
      <c r="D11" s="19" t="s">
        <v>74</v>
      </c>
      <c r="E11" s="15" t="s">
        <v>371</v>
      </c>
      <c r="F11" s="15" t="s">
        <v>1279</v>
      </c>
      <c r="G11" s="15" t="s">
        <v>1280</v>
      </c>
      <c r="H11" s="15" t="s">
        <v>1281</v>
      </c>
      <c r="I11" s="15" t="s">
        <v>1235</v>
      </c>
      <c r="J11" s="15" t="s">
        <v>966</v>
      </c>
      <c r="K11" s="15" t="s">
        <v>358</v>
      </c>
      <c r="L11" s="22" t="s">
        <v>68</v>
      </c>
      <c r="M11" s="15" t="s">
        <v>1282</v>
      </c>
      <c r="N11" s="15" t="s">
        <v>1283</v>
      </c>
      <c r="O11" s="15" t="s">
        <v>1277</v>
      </c>
      <c r="P11" s="15" t="s">
        <v>358</v>
      </c>
      <c r="Q11" s="15" t="s">
        <v>1284</v>
      </c>
    </row>
    <row r="12" customFormat="false" ht="79.85" hidden="false" customHeight="false" outlineLevel="0" collapsed="false">
      <c r="A12" s="15" t="s">
        <v>328</v>
      </c>
      <c r="B12" s="15" t="s">
        <v>329</v>
      </c>
      <c r="C12" s="15" t="s">
        <v>330</v>
      </c>
      <c r="D12" s="20" t="s">
        <v>75</v>
      </c>
      <c r="E12" s="15" t="s">
        <v>471</v>
      </c>
      <c r="F12" s="15" t="s">
        <v>1285</v>
      </c>
      <c r="G12" s="15" t="s">
        <v>1005</v>
      </c>
      <c r="H12" s="15" t="s">
        <v>1281</v>
      </c>
      <c r="I12" s="15" t="s">
        <v>1235</v>
      </c>
      <c r="J12" s="15" t="s">
        <v>1286</v>
      </c>
      <c r="K12" s="15" t="s">
        <v>530</v>
      </c>
      <c r="L12" s="23" t="s">
        <v>69</v>
      </c>
      <c r="M12" s="15" t="s">
        <v>1287</v>
      </c>
      <c r="N12" s="15" t="s">
        <v>1288</v>
      </c>
      <c r="O12" s="15" t="s">
        <v>1277</v>
      </c>
      <c r="P12" s="15" t="s">
        <v>358</v>
      </c>
      <c r="Q12" s="15" t="s">
        <v>1289</v>
      </c>
    </row>
    <row r="13" customFormat="false" ht="35.05" hidden="false" customHeight="false" outlineLevel="0" collapsed="false">
      <c r="A13" s="15" t="s">
        <v>1290</v>
      </c>
      <c r="B13" s="15" t="s">
        <v>1291</v>
      </c>
      <c r="C13" s="15" t="s">
        <v>1292</v>
      </c>
      <c r="D13" s="16" t="s">
        <v>73</v>
      </c>
      <c r="E13" s="15" t="s">
        <v>319</v>
      </c>
      <c r="F13" s="15" t="s">
        <v>1293</v>
      </c>
      <c r="G13" s="15" t="s">
        <v>355</v>
      </c>
      <c r="H13" s="15" t="s">
        <v>960</v>
      </c>
      <c r="I13" s="15" t="s">
        <v>358</v>
      </c>
      <c r="J13" s="15" t="s">
        <v>966</v>
      </c>
      <c r="K13" s="15" t="s">
        <v>358</v>
      </c>
      <c r="L13" s="22" t="s">
        <v>68</v>
      </c>
      <c r="M13" s="15" t="s">
        <v>1294</v>
      </c>
      <c r="N13" s="15" t="s">
        <v>1295</v>
      </c>
      <c r="O13" s="15" t="s">
        <v>1296</v>
      </c>
      <c r="P13" s="15" t="s">
        <v>105</v>
      </c>
      <c r="Q13" s="15" t="s">
        <v>1297</v>
      </c>
    </row>
    <row r="14" customFormat="false" ht="68.65" hidden="false" customHeight="false" outlineLevel="0" collapsed="false">
      <c r="A14" s="15" t="s">
        <v>1290</v>
      </c>
      <c r="B14" s="15" t="s">
        <v>1291</v>
      </c>
      <c r="C14" s="15" t="s">
        <v>1292</v>
      </c>
      <c r="D14" s="19" t="s">
        <v>74</v>
      </c>
      <c r="E14" s="15" t="s">
        <v>371</v>
      </c>
      <c r="F14" s="15" t="s">
        <v>1298</v>
      </c>
      <c r="G14" s="15" t="s">
        <v>1299</v>
      </c>
      <c r="H14" s="15" t="s">
        <v>960</v>
      </c>
      <c r="I14" s="15" t="s">
        <v>1235</v>
      </c>
      <c r="J14" s="15" t="s">
        <v>966</v>
      </c>
      <c r="K14" s="15" t="s">
        <v>530</v>
      </c>
      <c r="L14" s="23" t="s">
        <v>69</v>
      </c>
      <c r="M14" s="15" t="s">
        <v>1300</v>
      </c>
      <c r="N14" s="15" t="s">
        <v>1301</v>
      </c>
      <c r="O14" s="15" t="s">
        <v>1296</v>
      </c>
      <c r="P14" s="15" t="s">
        <v>358</v>
      </c>
      <c r="Q14" s="15" t="s">
        <v>1302</v>
      </c>
    </row>
    <row r="15" customFormat="false" ht="91" hidden="false" customHeight="false" outlineLevel="0" collapsed="false">
      <c r="A15" s="15" t="s">
        <v>1290</v>
      </c>
      <c r="B15" s="15" t="s">
        <v>1291</v>
      </c>
      <c r="C15" s="15" t="s">
        <v>1292</v>
      </c>
      <c r="D15" s="20" t="s">
        <v>75</v>
      </c>
      <c r="E15" s="15" t="s">
        <v>471</v>
      </c>
      <c r="F15" s="15" t="s">
        <v>1303</v>
      </c>
      <c r="G15" s="15" t="s">
        <v>1304</v>
      </c>
      <c r="H15" s="15" t="s">
        <v>960</v>
      </c>
      <c r="I15" s="15" t="s">
        <v>1305</v>
      </c>
      <c r="J15" s="15" t="s">
        <v>1286</v>
      </c>
      <c r="K15" s="15" t="s">
        <v>530</v>
      </c>
      <c r="L15" s="23" t="s">
        <v>69</v>
      </c>
      <c r="M15" s="15" t="s">
        <v>1306</v>
      </c>
      <c r="N15" s="15" t="s">
        <v>1307</v>
      </c>
      <c r="O15" s="15" t="s">
        <v>1296</v>
      </c>
      <c r="P15" s="15" t="s">
        <v>358</v>
      </c>
      <c r="Q15" s="15" t="s">
        <v>1308</v>
      </c>
    </row>
    <row r="16" customFormat="false" ht="35.05" hidden="false" customHeight="false" outlineLevel="0" collapsed="false">
      <c r="A16" s="15" t="s">
        <v>334</v>
      </c>
      <c r="B16" s="15" t="s">
        <v>335</v>
      </c>
      <c r="C16" s="15" t="s">
        <v>336</v>
      </c>
      <c r="D16" s="16" t="s">
        <v>73</v>
      </c>
      <c r="E16" s="15" t="s">
        <v>319</v>
      </c>
      <c r="F16" s="15" t="s">
        <v>337</v>
      </c>
      <c r="G16" s="15" t="s">
        <v>355</v>
      </c>
      <c r="H16" s="15" t="s">
        <v>1309</v>
      </c>
      <c r="I16" s="15" t="s">
        <v>382</v>
      </c>
      <c r="J16" s="15" t="s">
        <v>358</v>
      </c>
      <c r="K16" s="15" t="s">
        <v>358</v>
      </c>
      <c r="L16" s="18" t="s">
        <v>67</v>
      </c>
      <c r="M16" s="15" t="s">
        <v>338</v>
      </c>
      <c r="N16" s="15" t="s">
        <v>232</v>
      </c>
      <c r="O16" s="15" t="s">
        <v>1310</v>
      </c>
      <c r="P16" s="15" t="s">
        <v>105</v>
      </c>
      <c r="Q16" s="15" t="s">
        <v>1311</v>
      </c>
    </row>
    <row r="17" customFormat="false" ht="46.25" hidden="false" customHeight="false" outlineLevel="0" collapsed="false">
      <c r="A17" s="15" t="s">
        <v>334</v>
      </c>
      <c r="B17" s="15" t="s">
        <v>335</v>
      </c>
      <c r="C17" s="15" t="s">
        <v>336</v>
      </c>
      <c r="D17" s="19" t="s">
        <v>74</v>
      </c>
      <c r="E17" s="15" t="s">
        <v>371</v>
      </c>
      <c r="F17" s="15" t="s">
        <v>1312</v>
      </c>
      <c r="G17" s="15" t="s">
        <v>1313</v>
      </c>
      <c r="H17" s="15" t="s">
        <v>1314</v>
      </c>
      <c r="I17" s="15" t="s">
        <v>1315</v>
      </c>
      <c r="J17" s="15" t="s">
        <v>358</v>
      </c>
      <c r="K17" s="15" t="s">
        <v>358</v>
      </c>
      <c r="L17" s="18" t="s">
        <v>67</v>
      </c>
      <c r="M17" s="15" t="s">
        <v>1316</v>
      </c>
      <c r="N17" s="15" t="s">
        <v>1317</v>
      </c>
      <c r="O17" s="15" t="s">
        <v>1310</v>
      </c>
      <c r="P17" s="15" t="s">
        <v>358</v>
      </c>
      <c r="Q17" s="15" t="s">
        <v>1318</v>
      </c>
    </row>
    <row r="18" customFormat="false" ht="57.45" hidden="false" customHeight="false" outlineLevel="0" collapsed="false">
      <c r="A18" s="15" t="s">
        <v>334</v>
      </c>
      <c r="B18" s="15" t="s">
        <v>335</v>
      </c>
      <c r="C18" s="15" t="s">
        <v>336</v>
      </c>
      <c r="D18" s="20" t="s">
        <v>75</v>
      </c>
      <c r="E18" s="15" t="s">
        <v>471</v>
      </c>
      <c r="F18" s="15" t="s">
        <v>1319</v>
      </c>
      <c r="G18" s="15" t="s">
        <v>1259</v>
      </c>
      <c r="H18" s="15" t="s">
        <v>1320</v>
      </c>
      <c r="I18" s="15" t="s">
        <v>1315</v>
      </c>
      <c r="J18" s="15" t="s">
        <v>358</v>
      </c>
      <c r="K18" s="15" t="s">
        <v>358</v>
      </c>
      <c r="L18" s="18" t="s">
        <v>67</v>
      </c>
      <c r="M18" s="15" t="s">
        <v>1321</v>
      </c>
      <c r="N18" s="15" t="s">
        <v>1317</v>
      </c>
      <c r="O18" s="15" t="s">
        <v>1310</v>
      </c>
      <c r="P18" s="15" t="s">
        <v>358</v>
      </c>
      <c r="Q18" s="15" t="s">
        <v>1322</v>
      </c>
    </row>
    <row r="19" customFormat="false" ht="35.05" hidden="false" customHeight="false" outlineLevel="0" collapsed="false">
      <c r="A19" s="15" t="s">
        <v>1323</v>
      </c>
      <c r="B19" s="15" t="s">
        <v>1324</v>
      </c>
      <c r="C19" s="15" t="s">
        <v>1325</v>
      </c>
      <c r="D19" s="16" t="s">
        <v>73</v>
      </c>
      <c r="E19" s="15" t="s">
        <v>1326</v>
      </c>
      <c r="F19" s="15" t="s">
        <v>1327</v>
      </c>
      <c r="G19" s="15" t="s">
        <v>355</v>
      </c>
      <c r="H19" s="15" t="s">
        <v>1328</v>
      </c>
      <c r="I19" s="15" t="s">
        <v>358</v>
      </c>
      <c r="J19" s="15" t="s">
        <v>966</v>
      </c>
      <c r="K19" s="15" t="s">
        <v>358</v>
      </c>
      <c r="L19" s="22" t="s">
        <v>68</v>
      </c>
      <c r="M19" s="15" t="s">
        <v>1329</v>
      </c>
      <c r="N19" s="15" t="s">
        <v>1295</v>
      </c>
      <c r="O19" s="15" t="s">
        <v>1330</v>
      </c>
      <c r="P19" s="15" t="s">
        <v>105</v>
      </c>
      <c r="Q19" s="15" t="s">
        <v>1331</v>
      </c>
    </row>
    <row r="20" customFormat="false" ht="46.25" hidden="false" customHeight="false" outlineLevel="0" collapsed="false">
      <c r="A20" s="15" t="s">
        <v>1323</v>
      </c>
      <c r="B20" s="15" t="s">
        <v>1324</v>
      </c>
      <c r="C20" s="15" t="s">
        <v>1325</v>
      </c>
      <c r="D20" s="19" t="s">
        <v>74</v>
      </c>
      <c r="E20" s="15" t="s">
        <v>371</v>
      </c>
      <c r="F20" s="15" t="s">
        <v>1332</v>
      </c>
      <c r="G20" s="15" t="s">
        <v>1333</v>
      </c>
      <c r="H20" s="15" t="s">
        <v>1328</v>
      </c>
      <c r="I20" s="15" t="s">
        <v>1334</v>
      </c>
      <c r="J20" s="15" t="s">
        <v>966</v>
      </c>
      <c r="K20" s="15" t="s">
        <v>358</v>
      </c>
      <c r="L20" s="22" t="s">
        <v>68</v>
      </c>
      <c r="M20" s="15" t="s">
        <v>1335</v>
      </c>
      <c r="N20" s="15" t="s">
        <v>1336</v>
      </c>
      <c r="O20" s="15" t="s">
        <v>1330</v>
      </c>
      <c r="P20" s="15" t="s">
        <v>358</v>
      </c>
      <c r="Q20" s="15" t="s">
        <v>1337</v>
      </c>
    </row>
    <row r="21" customFormat="false" ht="68.65" hidden="false" customHeight="false" outlineLevel="0" collapsed="false">
      <c r="A21" s="15" t="s">
        <v>1323</v>
      </c>
      <c r="B21" s="15" t="s">
        <v>1324</v>
      </c>
      <c r="C21" s="15" t="s">
        <v>1325</v>
      </c>
      <c r="D21" s="20" t="s">
        <v>75</v>
      </c>
      <c r="E21" s="15" t="s">
        <v>471</v>
      </c>
      <c r="F21" s="15" t="s">
        <v>1338</v>
      </c>
      <c r="G21" s="15" t="s">
        <v>1339</v>
      </c>
      <c r="H21" s="15" t="s">
        <v>1340</v>
      </c>
      <c r="I21" s="15" t="s">
        <v>1341</v>
      </c>
      <c r="J21" s="15" t="s">
        <v>966</v>
      </c>
      <c r="K21" s="15" t="s">
        <v>358</v>
      </c>
      <c r="L21" s="22" t="s">
        <v>68</v>
      </c>
      <c r="M21" s="15" t="s">
        <v>1342</v>
      </c>
      <c r="N21" s="15" t="s">
        <v>1343</v>
      </c>
      <c r="O21" s="15" t="s">
        <v>1330</v>
      </c>
      <c r="P21" s="15" t="s">
        <v>358</v>
      </c>
      <c r="Q21" s="15" t="s">
        <v>1344</v>
      </c>
    </row>
  </sheetData>
  <autoFilter ref="A3:Q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9" min="7" style="0" width="34"/>
    <col collapsed="false" customWidth="true" hidden="false" outlineLevel="0" max="10" min="10" style="0" width="30"/>
    <col collapsed="false" customWidth="true" hidden="false" outlineLevel="0" max="11" min="11" style="0" width="26"/>
    <col collapsed="false" customWidth="true" hidden="false" outlineLevel="0" max="12" min="12" style="0" width="9"/>
    <col collapsed="false" customWidth="true" hidden="false" outlineLevel="0" max="14" min="13" style="0" width="46"/>
    <col collapsed="false" customWidth="true" hidden="false" outlineLevel="0" max="15" min="15" style="0" width="32"/>
    <col collapsed="false" customWidth="true" hidden="false" outlineLevel="0" max="16" min="16" style="0" width="40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6" t="s">
        <v>339</v>
      </c>
    </row>
    <row r="3" customFormat="false" ht="42" hidden="false" customHeight="true" outlineLevel="0" collapsed="false">
      <c r="A3" s="14" t="s">
        <v>79</v>
      </c>
      <c r="B3" s="14" t="s">
        <v>80</v>
      </c>
      <c r="C3" s="14" t="s">
        <v>81</v>
      </c>
      <c r="D3" s="14" t="s">
        <v>7</v>
      </c>
      <c r="E3" s="14" t="s">
        <v>340</v>
      </c>
      <c r="F3" s="14" t="s">
        <v>341</v>
      </c>
      <c r="G3" s="14" t="s">
        <v>342</v>
      </c>
      <c r="H3" s="14" t="s">
        <v>343</v>
      </c>
      <c r="I3" s="14" t="s">
        <v>344</v>
      </c>
      <c r="J3" s="14" t="s">
        <v>345</v>
      </c>
      <c r="K3" s="14" t="s">
        <v>346</v>
      </c>
      <c r="L3" s="14" t="s">
        <v>347</v>
      </c>
      <c r="M3" s="14" t="s">
        <v>85</v>
      </c>
      <c r="N3" s="14" t="s">
        <v>348</v>
      </c>
      <c r="O3" s="14" t="s">
        <v>349</v>
      </c>
      <c r="P3" s="14" t="s">
        <v>350</v>
      </c>
      <c r="Q3" s="14" t="s">
        <v>351</v>
      </c>
    </row>
    <row r="4" customFormat="false" ht="23.85" hidden="false" customHeight="false" outlineLevel="0" collapsed="false">
      <c r="A4" s="15" t="s">
        <v>212</v>
      </c>
      <c r="B4" s="15" t="s">
        <v>213</v>
      </c>
      <c r="C4" s="15" t="s">
        <v>214</v>
      </c>
      <c r="D4" s="16" t="s">
        <v>73</v>
      </c>
      <c r="E4" s="15" t="s">
        <v>215</v>
      </c>
      <c r="F4" s="15" t="s">
        <v>216</v>
      </c>
      <c r="G4" s="15" t="s">
        <v>355</v>
      </c>
      <c r="H4" s="15" t="s">
        <v>1345</v>
      </c>
      <c r="I4" s="15" t="s">
        <v>358</v>
      </c>
      <c r="J4" s="15" t="s">
        <v>358</v>
      </c>
      <c r="K4" s="15" t="s">
        <v>358</v>
      </c>
      <c r="L4" s="21" t="s">
        <v>66</v>
      </c>
      <c r="M4" s="15" t="s">
        <v>217</v>
      </c>
      <c r="N4" s="15" t="s">
        <v>107</v>
      </c>
      <c r="O4" s="15" t="s">
        <v>1346</v>
      </c>
      <c r="P4" s="15" t="s">
        <v>105</v>
      </c>
      <c r="Q4" s="15" t="s">
        <v>1347</v>
      </c>
    </row>
    <row r="5" customFormat="false" ht="46.25" hidden="false" customHeight="false" outlineLevel="0" collapsed="false">
      <c r="A5" s="15" t="s">
        <v>212</v>
      </c>
      <c r="B5" s="15" t="s">
        <v>213</v>
      </c>
      <c r="C5" s="15" t="s">
        <v>214</v>
      </c>
      <c r="D5" s="19" t="s">
        <v>74</v>
      </c>
      <c r="E5" s="15" t="s">
        <v>465</v>
      </c>
      <c r="F5" s="15" t="s">
        <v>1348</v>
      </c>
      <c r="G5" s="15" t="s">
        <v>1349</v>
      </c>
      <c r="H5" s="15" t="s">
        <v>1350</v>
      </c>
      <c r="I5" s="15" t="s">
        <v>1351</v>
      </c>
      <c r="J5" s="15" t="s">
        <v>358</v>
      </c>
      <c r="K5" s="15" t="s">
        <v>358</v>
      </c>
      <c r="L5" s="18" t="s">
        <v>67</v>
      </c>
      <c r="M5" s="15" t="s">
        <v>1352</v>
      </c>
      <c r="N5" s="15" t="s">
        <v>1353</v>
      </c>
      <c r="O5" s="15" t="s">
        <v>1346</v>
      </c>
      <c r="P5" s="15" t="s">
        <v>358</v>
      </c>
      <c r="Q5" s="15" t="s">
        <v>1354</v>
      </c>
    </row>
    <row r="6" customFormat="false" ht="46.25" hidden="false" customHeight="false" outlineLevel="0" collapsed="false">
      <c r="A6" s="15" t="s">
        <v>212</v>
      </c>
      <c r="B6" s="15" t="s">
        <v>213</v>
      </c>
      <c r="C6" s="15" t="s">
        <v>214</v>
      </c>
      <c r="D6" s="20" t="s">
        <v>75</v>
      </c>
      <c r="E6" s="15" t="s">
        <v>471</v>
      </c>
      <c r="F6" s="15" t="s">
        <v>1355</v>
      </c>
      <c r="G6" s="15" t="s">
        <v>1356</v>
      </c>
      <c r="H6" s="15" t="s">
        <v>1357</v>
      </c>
      <c r="I6" s="15" t="s">
        <v>1351</v>
      </c>
      <c r="J6" s="15" t="s">
        <v>358</v>
      </c>
      <c r="K6" s="15" t="s">
        <v>358</v>
      </c>
      <c r="L6" s="18" t="s">
        <v>67</v>
      </c>
      <c r="M6" s="15" t="s">
        <v>1358</v>
      </c>
      <c r="N6" s="15" t="s">
        <v>1353</v>
      </c>
      <c r="O6" s="15" t="s">
        <v>1346</v>
      </c>
      <c r="P6" s="15" t="s">
        <v>358</v>
      </c>
      <c r="Q6" s="15" t="s">
        <v>1359</v>
      </c>
    </row>
    <row r="7" customFormat="false" ht="23.85" hidden="false" customHeight="false" outlineLevel="0" collapsed="false">
      <c r="A7" s="15" t="s">
        <v>218</v>
      </c>
      <c r="B7" s="15" t="s">
        <v>219</v>
      </c>
      <c r="C7" s="15" t="s">
        <v>220</v>
      </c>
      <c r="D7" s="16" t="s">
        <v>73</v>
      </c>
      <c r="E7" s="15" t="s">
        <v>215</v>
      </c>
      <c r="F7" s="15" t="s">
        <v>221</v>
      </c>
      <c r="G7" s="15" t="s">
        <v>355</v>
      </c>
      <c r="H7" s="15" t="s">
        <v>1360</v>
      </c>
      <c r="I7" s="15" t="s">
        <v>358</v>
      </c>
      <c r="J7" s="15" t="s">
        <v>358</v>
      </c>
      <c r="K7" s="15" t="s">
        <v>358</v>
      </c>
      <c r="L7" s="21" t="s">
        <v>66</v>
      </c>
      <c r="M7" s="15" t="s">
        <v>222</v>
      </c>
      <c r="N7" s="15" t="s">
        <v>107</v>
      </c>
      <c r="O7" s="15" t="s">
        <v>1361</v>
      </c>
      <c r="P7" s="15" t="s">
        <v>105</v>
      </c>
      <c r="Q7" s="15" t="s">
        <v>1362</v>
      </c>
    </row>
    <row r="8" customFormat="false" ht="35.05" hidden="false" customHeight="false" outlineLevel="0" collapsed="false">
      <c r="A8" s="15" t="s">
        <v>218</v>
      </c>
      <c r="B8" s="15" t="s">
        <v>219</v>
      </c>
      <c r="C8" s="15" t="s">
        <v>220</v>
      </c>
      <c r="D8" s="19" t="s">
        <v>74</v>
      </c>
      <c r="E8" s="15" t="s">
        <v>465</v>
      </c>
      <c r="F8" s="15" t="s">
        <v>1363</v>
      </c>
      <c r="G8" s="15" t="s">
        <v>408</v>
      </c>
      <c r="H8" s="15" t="s">
        <v>1360</v>
      </c>
      <c r="I8" s="15" t="s">
        <v>358</v>
      </c>
      <c r="J8" s="15" t="s">
        <v>358</v>
      </c>
      <c r="K8" s="15" t="s">
        <v>358</v>
      </c>
      <c r="L8" s="21" t="s">
        <v>66</v>
      </c>
      <c r="M8" s="15" t="s">
        <v>222</v>
      </c>
      <c r="N8" s="15" t="s">
        <v>107</v>
      </c>
      <c r="O8" s="15" t="s">
        <v>1361</v>
      </c>
      <c r="P8" s="15" t="s">
        <v>358</v>
      </c>
      <c r="Q8" s="15" t="s">
        <v>1364</v>
      </c>
    </row>
    <row r="9" customFormat="false" ht="35.05" hidden="false" customHeight="false" outlineLevel="0" collapsed="false">
      <c r="A9" s="15" t="s">
        <v>218</v>
      </c>
      <c r="B9" s="15" t="s">
        <v>219</v>
      </c>
      <c r="C9" s="15" t="s">
        <v>220</v>
      </c>
      <c r="D9" s="20" t="s">
        <v>75</v>
      </c>
      <c r="E9" s="15" t="s">
        <v>471</v>
      </c>
      <c r="F9" s="15" t="s">
        <v>1365</v>
      </c>
      <c r="G9" s="15" t="s">
        <v>437</v>
      </c>
      <c r="H9" s="15" t="s">
        <v>1366</v>
      </c>
      <c r="I9" s="15" t="s">
        <v>358</v>
      </c>
      <c r="J9" s="15" t="s">
        <v>358</v>
      </c>
      <c r="K9" s="15" t="s">
        <v>358</v>
      </c>
      <c r="L9" s="21" t="s">
        <v>66</v>
      </c>
      <c r="M9" s="15" t="s">
        <v>1367</v>
      </c>
      <c r="N9" s="15" t="s">
        <v>107</v>
      </c>
      <c r="O9" s="15" t="s">
        <v>1361</v>
      </c>
      <c r="P9" s="15" t="s">
        <v>358</v>
      </c>
      <c r="Q9" s="15" t="s">
        <v>1368</v>
      </c>
    </row>
    <row r="10" customFormat="false" ht="46.25" hidden="false" customHeight="false" outlineLevel="0" collapsed="false">
      <c r="A10" s="15" t="s">
        <v>1369</v>
      </c>
      <c r="B10" s="15" t="s">
        <v>1370</v>
      </c>
      <c r="C10" s="15" t="s">
        <v>1371</v>
      </c>
      <c r="D10" s="16" t="s">
        <v>73</v>
      </c>
      <c r="E10" s="15" t="s">
        <v>215</v>
      </c>
      <c r="F10" s="15" t="s">
        <v>1372</v>
      </c>
      <c r="G10" s="15" t="s">
        <v>355</v>
      </c>
      <c r="H10" s="15" t="s">
        <v>358</v>
      </c>
      <c r="I10" s="15" t="s">
        <v>559</v>
      </c>
      <c r="J10" s="15" t="s">
        <v>474</v>
      </c>
      <c r="K10" s="15" t="s">
        <v>358</v>
      </c>
      <c r="L10" s="22" t="s">
        <v>68</v>
      </c>
      <c r="M10" s="15" t="s">
        <v>1373</v>
      </c>
      <c r="N10" s="15" t="s">
        <v>561</v>
      </c>
      <c r="O10" s="15" t="s">
        <v>1374</v>
      </c>
      <c r="P10" s="15" t="s">
        <v>105</v>
      </c>
      <c r="Q10" s="15" t="s">
        <v>1375</v>
      </c>
    </row>
    <row r="11" customFormat="false" ht="57.45" hidden="false" customHeight="false" outlineLevel="0" collapsed="false">
      <c r="A11" s="15" t="s">
        <v>1369</v>
      </c>
      <c r="B11" s="15" t="s">
        <v>1370</v>
      </c>
      <c r="C11" s="15" t="s">
        <v>1371</v>
      </c>
      <c r="D11" s="19" t="s">
        <v>74</v>
      </c>
      <c r="E11" s="15" t="s">
        <v>465</v>
      </c>
      <c r="F11" s="15" t="s">
        <v>1376</v>
      </c>
      <c r="G11" s="15" t="s">
        <v>1377</v>
      </c>
      <c r="H11" s="15" t="s">
        <v>1378</v>
      </c>
      <c r="I11" s="15" t="s">
        <v>559</v>
      </c>
      <c r="J11" s="15" t="s">
        <v>672</v>
      </c>
      <c r="K11" s="15" t="s">
        <v>358</v>
      </c>
      <c r="L11" s="22" t="s">
        <v>68</v>
      </c>
      <c r="M11" s="15" t="s">
        <v>1379</v>
      </c>
      <c r="N11" s="15" t="s">
        <v>674</v>
      </c>
      <c r="O11" s="15" t="s">
        <v>1374</v>
      </c>
      <c r="P11" s="15" t="s">
        <v>358</v>
      </c>
      <c r="Q11" s="15" t="s">
        <v>1380</v>
      </c>
    </row>
    <row r="12" customFormat="false" ht="68.65" hidden="false" customHeight="false" outlineLevel="0" collapsed="false">
      <c r="A12" s="15" t="s">
        <v>1369</v>
      </c>
      <c r="B12" s="15" t="s">
        <v>1370</v>
      </c>
      <c r="C12" s="15" t="s">
        <v>1371</v>
      </c>
      <c r="D12" s="20" t="s">
        <v>75</v>
      </c>
      <c r="E12" s="15" t="s">
        <v>471</v>
      </c>
      <c r="F12" s="15" t="s">
        <v>1381</v>
      </c>
      <c r="G12" s="15" t="s">
        <v>801</v>
      </c>
      <c r="H12" s="15" t="s">
        <v>1378</v>
      </c>
      <c r="I12" s="15" t="s">
        <v>1382</v>
      </c>
      <c r="J12" s="15" t="s">
        <v>672</v>
      </c>
      <c r="K12" s="15" t="s">
        <v>358</v>
      </c>
      <c r="L12" s="22" t="s">
        <v>68</v>
      </c>
      <c r="M12" s="15" t="s">
        <v>1383</v>
      </c>
      <c r="N12" s="15" t="s">
        <v>1384</v>
      </c>
      <c r="O12" s="15" t="s">
        <v>1374</v>
      </c>
      <c r="P12" s="15" t="s">
        <v>358</v>
      </c>
      <c r="Q12" s="15" t="s">
        <v>1385</v>
      </c>
    </row>
  </sheetData>
  <autoFilter ref="A3:Q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9" min="7" style="0" width="34"/>
    <col collapsed="false" customWidth="true" hidden="false" outlineLevel="0" max="10" min="10" style="0" width="30"/>
    <col collapsed="false" customWidth="true" hidden="false" outlineLevel="0" max="11" min="11" style="0" width="26"/>
    <col collapsed="false" customWidth="true" hidden="false" outlineLevel="0" max="12" min="12" style="0" width="9"/>
    <col collapsed="false" customWidth="true" hidden="false" outlineLevel="0" max="14" min="13" style="0" width="46"/>
    <col collapsed="false" customWidth="true" hidden="false" outlineLevel="0" max="15" min="15" style="0" width="32"/>
    <col collapsed="false" customWidth="true" hidden="false" outlineLevel="0" max="16" min="16" style="0" width="40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6" t="s">
        <v>339</v>
      </c>
    </row>
    <row r="3" customFormat="false" ht="42" hidden="false" customHeight="true" outlineLevel="0" collapsed="false">
      <c r="A3" s="14" t="s">
        <v>79</v>
      </c>
      <c r="B3" s="14" t="s">
        <v>80</v>
      </c>
      <c r="C3" s="14" t="s">
        <v>81</v>
      </c>
      <c r="D3" s="14" t="s">
        <v>7</v>
      </c>
      <c r="E3" s="14" t="s">
        <v>340</v>
      </c>
      <c r="F3" s="14" t="s">
        <v>341</v>
      </c>
      <c r="G3" s="14" t="s">
        <v>342</v>
      </c>
      <c r="H3" s="14" t="s">
        <v>343</v>
      </c>
      <c r="I3" s="14" t="s">
        <v>344</v>
      </c>
      <c r="J3" s="14" t="s">
        <v>345</v>
      </c>
      <c r="K3" s="14" t="s">
        <v>346</v>
      </c>
      <c r="L3" s="14" t="s">
        <v>347</v>
      </c>
      <c r="M3" s="14" t="s">
        <v>85</v>
      </c>
      <c r="N3" s="14" t="s">
        <v>348</v>
      </c>
      <c r="O3" s="14" t="s">
        <v>349</v>
      </c>
      <c r="P3" s="14" t="s">
        <v>350</v>
      </c>
      <c r="Q3" s="14" t="s">
        <v>351</v>
      </c>
    </row>
    <row r="4" customFormat="false" ht="23.85" hidden="false" customHeight="false" outlineLevel="0" collapsed="false">
      <c r="A4" s="15" t="s">
        <v>223</v>
      </c>
      <c r="B4" s="15" t="s">
        <v>224</v>
      </c>
      <c r="C4" s="15" t="s">
        <v>225</v>
      </c>
      <c r="D4" s="16" t="s">
        <v>73</v>
      </c>
      <c r="E4" s="15" t="s">
        <v>215</v>
      </c>
      <c r="F4" s="15" t="s">
        <v>226</v>
      </c>
      <c r="G4" s="15" t="s">
        <v>355</v>
      </c>
      <c r="H4" s="15" t="s">
        <v>1386</v>
      </c>
      <c r="I4" s="15" t="s">
        <v>358</v>
      </c>
      <c r="J4" s="15" t="s">
        <v>358</v>
      </c>
      <c r="K4" s="15" t="s">
        <v>358</v>
      </c>
      <c r="L4" s="21" t="s">
        <v>66</v>
      </c>
      <c r="M4" s="15" t="s">
        <v>227</v>
      </c>
      <c r="N4" s="15" t="s">
        <v>107</v>
      </c>
      <c r="O4" s="15" t="s">
        <v>1387</v>
      </c>
      <c r="P4" s="15" t="s">
        <v>105</v>
      </c>
      <c r="Q4" s="15" t="s">
        <v>1388</v>
      </c>
    </row>
    <row r="5" customFormat="false" ht="35.05" hidden="false" customHeight="false" outlineLevel="0" collapsed="false">
      <c r="A5" s="15" t="s">
        <v>223</v>
      </c>
      <c r="B5" s="15" t="s">
        <v>224</v>
      </c>
      <c r="C5" s="15" t="s">
        <v>225</v>
      </c>
      <c r="D5" s="19" t="s">
        <v>74</v>
      </c>
      <c r="E5" s="15" t="s">
        <v>465</v>
      </c>
      <c r="F5" s="15" t="s">
        <v>1389</v>
      </c>
      <c r="G5" s="15" t="s">
        <v>373</v>
      </c>
      <c r="H5" s="15" t="s">
        <v>1386</v>
      </c>
      <c r="I5" s="15" t="s">
        <v>1390</v>
      </c>
      <c r="J5" s="15" t="s">
        <v>358</v>
      </c>
      <c r="K5" s="15" t="s">
        <v>358</v>
      </c>
      <c r="L5" s="18" t="s">
        <v>67</v>
      </c>
      <c r="M5" s="15" t="s">
        <v>1391</v>
      </c>
      <c r="N5" s="15" t="s">
        <v>1392</v>
      </c>
      <c r="O5" s="15" t="s">
        <v>1387</v>
      </c>
      <c r="P5" s="15" t="s">
        <v>358</v>
      </c>
      <c r="Q5" s="15" t="s">
        <v>1393</v>
      </c>
    </row>
    <row r="6" customFormat="false" ht="46.25" hidden="false" customHeight="false" outlineLevel="0" collapsed="false">
      <c r="A6" s="15" t="s">
        <v>223</v>
      </c>
      <c r="B6" s="15" t="s">
        <v>224</v>
      </c>
      <c r="C6" s="15" t="s">
        <v>225</v>
      </c>
      <c r="D6" s="20" t="s">
        <v>75</v>
      </c>
      <c r="E6" s="15" t="s">
        <v>471</v>
      </c>
      <c r="F6" s="15" t="s">
        <v>1394</v>
      </c>
      <c r="G6" s="15" t="s">
        <v>1395</v>
      </c>
      <c r="H6" s="15" t="s">
        <v>1396</v>
      </c>
      <c r="I6" s="15" t="s">
        <v>1390</v>
      </c>
      <c r="J6" s="15" t="s">
        <v>358</v>
      </c>
      <c r="K6" s="15" t="s">
        <v>358</v>
      </c>
      <c r="L6" s="18" t="s">
        <v>67</v>
      </c>
      <c r="M6" s="15" t="s">
        <v>1397</v>
      </c>
      <c r="N6" s="15" t="s">
        <v>1392</v>
      </c>
      <c r="O6" s="15" t="s">
        <v>1387</v>
      </c>
      <c r="P6" s="15" t="s">
        <v>358</v>
      </c>
      <c r="Q6" s="15" t="s">
        <v>1398</v>
      </c>
    </row>
    <row r="7" customFormat="false" ht="35.05" hidden="false" customHeight="false" outlineLevel="0" collapsed="false">
      <c r="A7" s="15" t="s">
        <v>228</v>
      </c>
      <c r="B7" s="15" t="s">
        <v>229</v>
      </c>
      <c r="C7" s="15" t="s">
        <v>225</v>
      </c>
      <c r="D7" s="16" t="s">
        <v>73</v>
      </c>
      <c r="E7" s="15" t="s">
        <v>215</v>
      </c>
      <c r="F7" s="15" t="s">
        <v>230</v>
      </c>
      <c r="G7" s="15" t="s">
        <v>355</v>
      </c>
      <c r="H7" s="15" t="s">
        <v>960</v>
      </c>
      <c r="I7" s="15" t="s">
        <v>382</v>
      </c>
      <c r="J7" s="15" t="s">
        <v>358</v>
      </c>
      <c r="K7" s="15" t="s">
        <v>358</v>
      </c>
      <c r="L7" s="18" t="s">
        <v>67</v>
      </c>
      <c r="M7" s="15" t="s">
        <v>231</v>
      </c>
      <c r="N7" s="15" t="s">
        <v>232</v>
      </c>
      <c r="O7" s="15" t="s">
        <v>1399</v>
      </c>
      <c r="P7" s="15" t="s">
        <v>105</v>
      </c>
      <c r="Q7" s="15" t="s">
        <v>1400</v>
      </c>
    </row>
    <row r="8" customFormat="false" ht="46.25" hidden="false" customHeight="false" outlineLevel="0" collapsed="false">
      <c r="A8" s="15" t="s">
        <v>228</v>
      </c>
      <c r="B8" s="15" t="s">
        <v>229</v>
      </c>
      <c r="C8" s="15" t="s">
        <v>225</v>
      </c>
      <c r="D8" s="19" t="s">
        <v>74</v>
      </c>
      <c r="E8" s="15" t="s">
        <v>465</v>
      </c>
      <c r="F8" s="15" t="s">
        <v>1401</v>
      </c>
      <c r="G8" s="15" t="s">
        <v>373</v>
      </c>
      <c r="H8" s="15" t="s">
        <v>960</v>
      </c>
      <c r="I8" s="15" t="s">
        <v>1315</v>
      </c>
      <c r="J8" s="15" t="s">
        <v>358</v>
      </c>
      <c r="K8" s="15" t="s">
        <v>358</v>
      </c>
      <c r="L8" s="18" t="s">
        <v>67</v>
      </c>
      <c r="M8" s="15" t="s">
        <v>1402</v>
      </c>
      <c r="N8" s="15" t="s">
        <v>1317</v>
      </c>
      <c r="O8" s="15" t="s">
        <v>1399</v>
      </c>
      <c r="P8" s="15" t="s">
        <v>358</v>
      </c>
      <c r="Q8" s="15" t="s">
        <v>1403</v>
      </c>
    </row>
    <row r="9" customFormat="false" ht="57.45" hidden="false" customHeight="false" outlineLevel="0" collapsed="false">
      <c r="A9" s="15" t="s">
        <v>228</v>
      </c>
      <c r="B9" s="15" t="s">
        <v>229</v>
      </c>
      <c r="C9" s="15" t="s">
        <v>225</v>
      </c>
      <c r="D9" s="20" t="s">
        <v>75</v>
      </c>
      <c r="E9" s="15" t="s">
        <v>471</v>
      </c>
      <c r="F9" s="15" t="s">
        <v>1404</v>
      </c>
      <c r="G9" s="15" t="s">
        <v>1405</v>
      </c>
      <c r="H9" s="15" t="s">
        <v>1406</v>
      </c>
      <c r="I9" s="15" t="s">
        <v>1315</v>
      </c>
      <c r="J9" s="15" t="s">
        <v>966</v>
      </c>
      <c r="K9" s="15" t="s">
        <v>358</v>
      </c>
      <c r="L9" s="22" t="s">
        <v>68</v>
      </c>
      <c r="M9" s="15" t="s">
        <v>1407</v>
      </c>
      <c r="N9" s="15" t="s">
        <v>1408</v>
      </c>
      <c r="O9" s="15" t="s">
        <v>1399</v>
      </c>
      <c r="P9" s="15" t="s">
        <v>358</v>
      </c>
      <c r="Q9" s="15" t="s">
        <v>1409</v>
      </c>
    </row>
  </sheetData>
  <autoFilter ref="A3:Q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9" min="7" style="0" width="34"/>
    <col collapsed="false" customWidth="true" hidden="false" outlineLevel="0" max="10" min="10" style="0" width="30"/>
    <col collapsed="false" customWidth="true" hidden="false" outlineLevel="0" max="11" min="11" style="0" width="26"/>
    <col collapsed="false" customWidth="true" hidden="false" outlineLevel="0" max="12" min="12" style="0" width="9"/>
    <col collapsed="false" customWidth="true" hidden="false" outlineLevel="0" max="14" min="13" style="0" width="46"/>
    <col collapsed="false" customWidth="true" hidden="false" outlineLevel="0" max="15" min="15" style="0" width="32"/>
    <col collapsed="false" customWidth="true" hidden="false" outlineLevel="0" max="16" min="16" style="0" width="40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6" t="s">
        <v>339</v>
      </c>
    </row>
    <row r="3" customFormat="false" ht="42" hidden="false" customHeight="true" outlineLevel="0" collapsed="false">
      <c r="A3" s="14" t="s">
        <v>79</v>
      </c>
      <c r="B3" s="14" t="s">
        <v>80</v>
      </c>
      <c r="C3" s="14" t="s">
        <v>81</v>
      </c>
      <c r="D3" s="14" t="s">
        <v>7</v>
      </c>
      <c r="E3" s="14" t="s">
        <v>340</v>
      </c>
      <c r="F3" s="14" t="s">
        <v>341</v>
      </c>
      <c r="G3" s="14" t="s">
        <v>342</v>
      </c>
      <c r="H3" s="14" t="s">
        <v>343</v>
      </c>
      <c r="I3" s="14" t="s">
        <v>344</v>
      </c>
      <c r="J3" s="14" t="s">
        <v>345</v>
      </c>
      <c r="K3" s="14" t="s">
        <v>346</v>
      </c>
      <c r="L3" s="14" t="s">
        <v>347</v>
      </c>
      <c r="M3" s="14" t="s">
        <v>85</v>
      </c>
      <c r="N3" s="14" t="s">
        <v>348</v>
      </c>
      <c r="O3" s="14" t="s">
        <v>349</v>
      </c>
      <c r="P3" s="14" t="s">
        <v>350</v>
      </c>
      <c r="Q3" s="14" t="s">
        <v>351</v>
      </c>
    </row>
    <row r="4" customFormat="false" ht="23.85" hidden="false" customHeight="false" outlineLevel="0" collapsed="false">
      <c r="A4" s="15" t="s">
        <v>233</v>
      </c>
      <c r="B4" s="15" t="s">
        <v>234</v>
      </c>
      <c r="C4" s="15" t="s">
        <v>235</v>
      </c>
      <c r="D4" s="16" t="s">
        <v>73</v>
      </c>
      <c r="E4" s="15" t="s">
        <v>215</v>
      </c>
      <c r="F4" s="15" t="s">
        <v>236</v>
      </c>
      <c r="G4" s="15" t="s">
        <v>355</v>
      </c>
      <c r="H4" s="15" t="s">
        <v>1410</v>
      </c>
      <c r="I4" s="15" t="s">
        <v>358</v>
      </c>
      <c r="J4" s="15" t="s">
        <v>358</v>
      </c>
      <c r="K4" s="15" t="s">
        <v>358</v>
      </c>
      <c r="L4" s="21" t="s">
        <v>66</v>
      </c>
      <c r="M4" s="15" t="s">
        <v>237</v>
      </c>
      <c r="N4" s="15" t="s">
        <v>107</v>
      </c>
      <c r="O4" s="15" t="s">
        <v>1411</v>
      </c>
      <c r="P4" s="15" t="s">
        <v>105</v>
      </c>
      <c r="Q4" s="15" t="s">
        <v>1412</v>
      </c>
    </row>
    <row r="5" customFormat="false" ht="46.25" hidden="false" customHeight="false" outlineLevel="0" collapsed="false">
      <c r="A5" s="15" t="s">
        <v>233</v>
      </c>
      <c r="B5" s="15" t="s">
        <v>234</v>
      </c>
      <c r="C5" s="15" t="s">
        <v>235</v>
      </c>
      <c r="D5" s="19" t="s">
        <v>74</v>
      </c>
      <c r="E5" s="15" t="s">
        <v>465</v>
      </c>
      <c r="F5" s="15" t="s">
        <v>1413</v>
      </c>
      <c r="G5" s="15" t="s">
        <v>1414</v>
      </c>
      <c r="H5" s="15" t="s">
        <v>1415</v>
      </c>
      <c r="I5" s="15" t="s">
        <v>1351</v>
      </c>
      <c r="J5" s="15" t="s">
        <v>358</v>
      </c>
      <c r="K5" s="15" t="s">
        <v>358</v>
      </c>
      <c r="L5" s="18" t="s">
        <v>67</v>
      </c>
      <c r="M5" s="15" t="s">
        <v>1416</v>
      </c>
      <c r="N5" s="15" t="s">
        <v>1353</v>
      </c>
      <c r="O5" s="15" t="s">
        <v>1411</v>
      </c>
      <c r="P5" s="15" t="s">
        <v>358</v>
      </c>
      <c r="Q5" s="15" t="s">
        <v>1417</v>
      </c>
    </row>
    <row r="6" customFormat="false" ht="57.45" hidden="false" customHeight="false" outlineLevel="0" collapsed="false">
      <c r="A6" s="15" t="s">
        <v>233</v>
      </c>
      <c r="B6" s="15" t="s">
        <v>234</v>
      </c>
      <c r="C6" s="15" t="s">
        <v>235</v>
      </c>
      <c r="D6" s="20" t="s">
        <v>75</v>
      </c>
      <c r="E6" s="15" t="s">
        <v>471</v>
      </c>
      <c r="F6" s="15" t="s">
        <v>1418</v>
      </c>
      <c r="G6" s="15" t="s">
        <v>1419</v>
      </c>
      <c r="H6" s="15" t="s">
        <v>1420</v>
      </c>
      <c r="I6" s="15" t="s">
        <v>1351</v>
      </c>
      <c r="J6" s="15" t="s">
        <v>358</v>
      </c>
      <c r="K6" s="15" t="s">
        <v>358</v>
      </c>
      <c r="L6" s="18" t="s">
        <v>67</v>
      </c>
      <c r="M6" s="15" t="s">
        <v>1421</v>
      </c>
      <c r="N6" s="15" t="s">
        <v>1353</v>
      </c>
      <c r="O6" s="15" t="s">
        <v>1411</v>
      </c>
      <c r="P6" s="15" t="s">
        <v>358</v>
      </c>
      <c r="Q6" s="15" t="s">
        <v>1422</v>
      </c>
    </row>
    <row r="7" customFormat="false" ht="23.85" hidden="false" customHeight="false" outlineLevel="0" collapsed="false">
      <c r="A7" s="15" t="s">
        <v>238</v>
      </c>
      <c r="B7" s="15" t="s">
        <v>239</v>
      </c>
      <c r="C7" s="15" t="s">
        <v>240</v>
      </c>
      <c r="D7" s="16" t="s">
        <v>73</v>
      </c>
      <c r="E7" s="15" t="s">
        <v>215</v>
      </c>
      <c r="F7" s="15" t="s">
        <v>241</v>
      </c>
      <c r="G7" s="15" t="s">
        <v>355</v>
      </c>
      <c r="H7" s="15" t="s">
        <v>1423</v>
      </c>
      <c r="I7" s="15" t="s">
        <v>358</v>
      </c>
      <c r="J7" s="15" t="s">
        <v>358</v>
      </c>
      <c r="K7" s="15" t="s">
        <v>358</v>
      </c>
      <c r="L7" s="21" t="s">
        <v>66</v>
      </c>
      <c r="M7" s="15" t="s">
        <v>242</v>
      </c>
      <c r="N7" s="15" t="s">
        <v>107</v>
      </c>
      <c r="O7" s="15" t="s">
        <v>1424</v>
      </c>
      <c r="P7" s="15" t="s">
        <v>105</v>
      </c>
      <c r="Q7" s="15" t="s">
        <v>1425</v>
      </c>
    </row>
    <row r="8" customFormat="false" ht="35.05" hidden="false" customHeight="false" outlineLevel="0" collapsed="false">
      <c r="A8" s="15" t="s">
        <v>238</v>
      </c>
      <c r="B8" s="15" t="s">
        <v>239</v>
      </c>
      <c r="C8" s="15" t="s">
        <v>240</v>
      </c>
      <c r="D8" s="19" t="s">
        <v>74</v>
      </c>
      <c r="E8" s="15" t="s">
        <v>465</v>
      </c>
      <c r="F8" s="15" t="s">
        <v>1426</v>
      </c>
      <c r="G8" s="15" t="s">
        <v>1427</v>
      </c>
      <c r="H8" s="15" t="s">
        <v>1423</v>
      </c>
      <c r="I8" s="15" t="s">
        <v>1428</v>
      </c>
      <c r="J8" s="15" t="s">
        <v>358</v>
      </c>
      <c r="K8" s="15" t="s">
        <v>358</v>
      </c>
      <c r="L8" s="18" t="s">
        <v>67</v>
      </c>
      <c r="M8" s="15" t="s">
        <v>1429</v>
      </c>
      <c r="N8" s="15" t="s">
        <v>1430</v>
      </c>
      <c r="O8" s="15" t="s">
        <v>1424</v>
      </c>
      <c r="P8" s="15" t="s">
        <v>358</v>
      </c>
      <c r="Q8" s="15" t="s">
        <v>1431</v>
      </c>
    </row>
    <row r="9" customFormat="false" ht="46.25" hidden="false" customHeight="false" outlineLevel="0" collapsed="false">
      <c r="A9" s="15" t="s">
        <v>238</v>
      </c>
      <c r="B9" s="15" t="s">
        <v>239</v>
      </c>
      <c r="C9" s="15" t="s">
        <v>240</v>
      </c>
      <c r="D9" s="20" t="s">
        <v>75</v>
      </c>
      <c r="E9" s="15" t="s">
        <v>471</v>
      </c>
      <c r="F9" s="15" t="s">
        <v>1432</v>
      </c>
      <c r="G9" s="15" t="s">
        <v>1433</v>
      </c>
      <c r="H9" s="15" t="s">
        <v>1434</v>
      </c>
      <c r="I9" s="15" t="s">
        <v>1428</v>
      </c>
      <c r="J9" s="15" t="s">
        <v>358</v>
      </c>
      <c r="K9" s="15" t="s">
        <v>358</v>
      </c>
      <c r="L9" s="18" t="s">
        <v>67</v>
      </c>
      <c r="M9" s="15" t="s">
        <v>1435</v>
      </c>
      <c r="N9" s="15" t="s">
        <v>1430</v>
      </c>
      <c r="O9" s="15" t="s">
        <v>1424</v>
      </c>
      <c r="P9" s="15" t="s">
        <v>358</v>
      </c>
      <c r="Q9" s="15" t="s">
        <v>1436</v>
      </c>
    </row>
    <row r="10" customFormat="false" ht="23.85" hidden="false" customHeight="false" outlineLevel="0" collapsed="false">
      <c r="A10" s="15" t="s">
        <v>243</v>
      </c>
      <c r="B10" s="15" t="s">
        <v>244</v>
      </c>
      <c r="C10" s="15" t="s">
        <v>235</v>
      </c>
      <c r="D10" s="16" t="s">
        <v>73</v>
      </c>
      <c r="E10" s="15" t="s">
        <v>215</v>
      </c>
      <c r="F10" s="15" t="s">
        <v>245</v>
      </c>
      <c r="G10" s="15" t="s">
        <v>355</v>
      </c>
      <c r="H10" s="15" t="s">
        <v>1437</v>
      </c>
      <c r="I10" s="15" t="s">
        <v>358</v>
      </c>
      <c r="J10" s="15" t="s">
        <v>358</v>
      </c>
      <c r="K10" s="15" t="s">
        <v>358</v>
      </c>
      <c r="L10" s="21" t="s">
        <v>66</v>
      </c>
      <c r="M10" s="15" t="s">
        <v>246</v>
      </c>
      <c r="N10" s="15" t="s">
        <v>107</v>
      </c>
      <c r="O10" s="15" t="s">
        <v>1438</v>
      </c>
      <c r="P10" s="15" t="s">
        <v>105</v>
      </c>
      <c r="Q10" s="15" t="s">
        <v>1439</v>
      </c>
    </row>
    <row r="11" customFormat="false" ht="57.45" hidden="false" customHeight="false" outlineLevel="0" collapsed="false">
      <c r="A11" s="15" t="s">
        <v>243</v>
      </c>
      <c r="B11" s="15" t="s">
        <v>244</v>
      </c>
      <c r="C11" s="15" t="s">
        <v>235</v>
      </c>
      <c r="D11" s="19" t="s">
        <v>74</v>
      </c>
      <c r="E11" s="15" t="s">
        <v>465</v>
      </c>
      <c r="F11" s="15" t="s">
        <v>1440</v>
      </c>
      <c r="G11" s="15" t="s">
        <v>1441</v>
      </c>
      <c r="H11" s="15" t="s">
        <v>1442</v>
      </c>
      <c r="I11" s="15" t="s">
        <v>358</v>
      </c>
      <c r="J11" s="15" t="s">
        <v>358</v>
      </c>
      <c r="K11" s="15" t="s">
        <v>358</v>
      </c>
      <c r="L11" s="21" t="s">
        <v>66</v>
      </c>
      <c r="M11" s="15" t="s">
        <v>1443</v>
      </c>
      <c r="N11" s="15" t="s">
        <v>107</v>
      </c>
      <c r="O11" s="15" t="s">
        <v>1438</v>
      </c>
      <c r="P11" s="15" t="s">
        <v>358</v>
      </c>
      <c r="Q11" s="15" t="s">
        <v>1444</v>
      </c>
    </row>
    <row r="12" customFormat="false" ht="79.85" hidden="false" customHeight="false" outlineLevel="0" collapsed="false">
      <c r="A12" s="15" t="s">
        <v>243</v>
      </c>
      <c r="B12" s="15" t="s">
        <v>244</v>
      </c>
      <c r="C12" s="15" t="s">
        <v>235</v>
      </c>
      <c r="D12" s="20" t="s">
        <v>75</v>
      </c>
      <c r="E12" s="15" t="s">
        <v>471</v>
      </c>
      <c r="F12" s="15" t="s">
        <v>1445</v>
      </c>
      <c r="G12" s="15" t="s">
        <v>1419</v>
      </c>
      <c r="H12" s="15" t="s">
        <v>1446</v>
      </c>
      <c r="I12" s="15" t="s">
        <v>358</v>
      </c>
      <c r="J12" s="15" t="s">
        <v>358</v>
      </c>
      <c r="K12" s="15" t="s">
        <v>358</v>
      </c>
      <c r="L12" s="21" t="s">
        <v>66</v>
      </c>
      <c r="M12" s="15" t="s">
        <v>1447</v>
      </c>
      <c r="N12" s="15" t="s">
        <v>107</v>
      </c>
      <c r="O12" s="15" t="s">
        <v>1438</v>
      </c>
      <c r="P12" s="15" t="s">
        <v>358</v>
      </c>
      <c r="Q12" s="15" t="s">
        <v>1448</v>
      </c>
    </row>
  </sheetData>
  <autoFilter ref="A3:Q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60"/>
    <col collapsed="false" customWidth="true" hidden="false" outlineLevel="0" max="8" min="8" style="0" width="18"/>
    <col collapsed="false" customWidth="true" hidden="false" outlineLevel="0" max="10" min="9" style="0" width="34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" t="s">
        <v>1449</v>
      </c>
    </row>
    <row r="3" customFormat="false" ht="42" hidden="false" customHeight="true" outlineLevel="0" collapsed="false">
      <c r="A3" s="14" t="s">
        <v>33</v>
      </c>
      <c r="B3" s="14" t="s">
        <v>1450</v>
      </c>
      <c r="C3" s="14" t="s">
        <v>1451</v>
      </c>
      <c r="D3" s="14" t="s">
        <v>1452</v>
      </c>
      <c r="E3" s="14" t="s">
        <v>7</v>
      </c>
      <c r="F3" s="14" t="s">
        <v>1453</v>
      </c>
      <c r="G3" s="14" t="s">
        <v>1454</v>
      </c>
      <c r="H3" s="14" t="s">
        <v>1455</v>
      </c>
      <c r="I3" s="14" t="s">
        <v>1456</v>
      </c>
      <c r="J3" s="14" t="s">
        <v>1457</v>
      </c>
      <c r="K3" s="14" t="s">
        <v>1458</v>
      </c>
    </row>
    <row r="4" customFormat="false" ht="23.85" hidden="false" customHeight="false" outlineLevel="0" collapsed="false">
      <c r="A4" s="15" t="s">
        <v>37</v>
      </c>
      <c r="B4" s="15" t="s">
        <v>1459</v>
      </c>
      <c r="C4" s="15" t="s">
        <v>1460</v>
      </c>
      <c r="D4" s="15" t="s">
        <v>1461</v>
      </c>
      <c r="E4" s="20" t="s">
        <v>75</v>
      </c>
      <c r="F4" s="15" t="s">
        <v>1462</v>
      </c>
      <c r="G4" s="15" t="s">
        <v>1463</v>
      </c>
      <c r="H4" s="15" t="s">
        <v>784</v>
      </c>
      <c r="I4" s="15" t="s">
        <v>1464</v>
      </c>
      <c r="J4" s="15" t="s">
        <v>1465</v>
      </c>
      <c r="K4" s="15" t="s">
        <v>1466</v>
      </c>
    </row>
    <row r="5" customFormat="false" ht="23.85" hidden="false" customHeight="false" outlineLevel="0" collapsed="false">
      <c r="A5" s="15" t="s">
        <v>37</v>
      </c>
      <c r="B5" s="15" t="s">
        <v>1467</v>
      </c>
      <c r="C5" s="15" t="s">
        <v>1460</v>
      </c>
      <c r="D5" s="15" t="s">
        <v>1461</v>
      </c>
      <c r="E5" s="19" t="s">
        <v>74</v>
      </c>
      <c r="F5" s="15" t="s">
        <v>1462</v>
      </c>
      <c r="G5" s="15" t="s">
        <v>1468</v>
      </c>
      <c r="H5" s="15" t="s">
        <v>779</v>
      </c>
      <c r="I5" s="15" t="s">
        <v>1469</v>
      </c>
      <c r="J5" s="15" t="s">
        <v>1465</v>
      </c>
      <c r="K5" s="15" t="s">
        <v>1466</v>
      </c>
    </row>
    <row r="6" customFormat="false" ht="23.85" hidden="false" customHeight="false" outlineLevel="0" collapsed="false">
      <c r="A6" s="15" t="s">
        <v>37</v>
      </c>
      <c r="B6" s="15" t="s">
        <v>1470</v>
      </c>
      <c r="C6" s="15" t="s">
        <v>1460</v>
      </c>
      <c r="D6" s="15" t="s">
        <v>1461</v>
      </c>
      <c r="E6" s="16" t="s">
        <v>73</v>
      </c>
      <c r="F6" s="15" t="s">
        <v>1462</v>
      </c>
      <c r="G6" s="15" t="s">
        <v>1471</v>
      </c>
      <c r="H6" s="15" t="s">
        <v>773</v>
      </c>
      <c r="I6" s="15" t="s">
        <v>1472</v>
      </c>
      <c r="J6" s="15" t="s">
        <v>1473</v>
      </c>
      <c r="K6" s="15" t="s">
        <v>1466</v>
      </c>
    </row>
    <row r="7" customFormat="false" ht="23.85" hidden="false" customHeight="false" outlineLevel="0" collapsed="false">
      <c r="A7" s="15" t="s">
        <v>37</v>
      </c>
      <c r="B7" s="15" t="s">
        <v>1474</v>
      </c>
      <c r="C7" s="15" t="s">
        <v>1475</v>
      </c>
      <c r="D7" s="15" t="s">
        <v>1461</v>
      </c>
      <c r="E7" s="20" t="s">
        <v>75</v>
      </c>
      <c r="F7" s="15" t="s">
        <v>1476</v>
      </c>
      <c r="G7" s="15" t="s">
        <v>1477</v>
      </c>
      <c r="H7" s="15" t="s">
        <v>744</v>
      </c>
      <c r="I7" s="15" t="s">
        <v>1464</v>
      </c>
      <c r="J7" s="15" t="s">
        <v>1465</v>
      </c>
      <c r="K7" s="15" t="s">
        <v>1478</v>
      </c>
    </row>
    <row r="8" customFormat="false" ht="23.85" hidden="false" customHeight="false" outlineLevel="0" collapsed="false">
      <c r="A8" s="15" t="s">
        <v>37</v>
      </c>
      <c r="B8" s="15" t="s">
        <v>1479</v>
      </c>
      <c r="C8" s="15" t="s">
        <v>1475</v>
      </c>
      <c r="D8" s="15" t="s">
        <v>1461</v>
      </c>
      <c r="E8" s="19" t="s">
        <v>74</v>
      </c>
      <c r="F8" s="15" t="s">
        <v>1476</v>
      </c>
      <c r="G8" s="15" t="s">
        <v>1480</v>
      </c>
      <c r="H8" s="15" t="s">
        <v>737</v>
      </c>
      <c r="I8" s="15" t="s">
        <v>1469</v>
      </c>
      <c r="J8" s="15" t="s">
        <v>1465</v>
      </c>
      <c r="K8" s="15" t="s">
        <v>1478</v>
      </c>
    </row>
    <row r="9" customFormat="false" ht="23.85" hidden="false" customHeight="false" outlineLevel="0" collapsed="false">
      <c r="A9" s="15" t="s">
        <v>37</v>
      </c>
      <c r="B9" s="15" t="s">
        <v>1481</v>
      </c>
      <c r="C9" s="15" t="s">
        <v>1475</v>
      </c>
      <c r="D9" s="15" t="s">
        <v>1461</v>
      </c>
      <c r="E9" s="16" t="s">
        <v>73</v>
      </c>
      <c r="F9" s="15" t="s">
        <v>1476</v>
      </c>
      <c r="G9" s="15" t="s">
        <v>1482</v>
      </c>
      <c r="H9" s="15" t="s">
        <v>731</v>
      </c>
      <c r="I9" s="15" t="s">
        <v>1472</v>
      </c>
      <c r="J9" s="15" t="s">
        <v>1473</v>
      </c>
      <c r="K9" s="15" t="s">
        <v>1478</v>
      </c>
    </row>
    <row r="10" customFormat="false" ht="23.85" hidden="false" customHeight="false" outlineLevel="0" collapsed="false">
      <c r="A10" s="15" t="s">
        <v>37</v>
      </c>
      <c r="B10" s="15" t="s">
        <v>1483</v>
      </c>
      <c r="C10" s="15" t="s">
        <v>1484</v>
      </c>
      <c r="D10" s="15" t="s">
        <v>1461</v>
      </c>
      <c r="E10" s="20" t="s">
        <v>75</v>
      </c>
      <c r="F10" s="15" t="s">
        <v>1485</v>
      </c>
      <c r="G10" s="15" t="s">
        <v>1486</v>
      </c>
      <c r="H10" s="15" t="s">
        <v>796</v>
      </c>
      <c r="I10" s="15" t="s">
        <v>1464</v>
      </c>
      <c r="J10" s="15" t="s">
        <v>1465</v>
      </c>
      <c r="K10" s="15" t="s">
        <v>1487</v>
      </c>
    </row>
    <row r="11" customFormat="false" ht="23.85" hidden="false" customHeight="false" outlineLevel="0" collapsed="false">
      <c r="A11" s="15" t="s">
        <v>37</v>
      </c>
      <c r="B11" s="15" t="s">
        <v>1488</v>
      </c>
      <c r="C11" s="15" t="s">
        <v>1484</v>
      </c>
      <c r="D11" s="15" t="s">
        <v>1461</v>
      </c>
      <c r="E11" s="19" t="s">
        <v>74</v>
      </c>
      <c r="F11" s="15" t="s">
        <v>1485</v>
      </c>
      <c r="G11" s="15" t="s">
        <v>1489</v>
      </c>
      <c r="H11" s="15" t="s">
        <v>792</v>
      </c>
      <c r="I11" s="15" t="s">
        <v>1469</v>
      </c>
      <c r="J11" s="15" t="s">
        <v>1465</v>
      </c>
      <c r="K11" s="15" t="s">
        <v>1487</v>
      </c>
    </row>
    <row r="12" customFormat="false" ht="23.85" hidden="false" customHeight="false" outlineLevel="0" collapsed="false">
      <c r="A12" s="15" t="s">
        <v>37</v>
      </c>
      <c r="B12" s="15" t="s">
        <v>1490</v>
      </c>
      <c r="C12" s="15" t="s">
        <v>1484</v>
      </c>
      <c r="D12" s="15" t="s">
        <v>1461</v>
      </c>
      <c r="E12" s="16" t="s">
        <v>73</v>
      </c>
      <c r="F12" s="15" t="s">
        <v>1485</v>
      </c>
      <c r="G12" s="15" t="s">
        <v>1491</v>
      </c>
      <c r="H12" s="15" t="s">
        <v>787</v>
      </c>
      <c r="I12" s="15" t="s">
        <v>1472</v>
      </c>
      <c r="J12" s="15" t="s">
        <v>1473</v>
      </c>
      <c r="K12" s="15" t="s">
        <v>1487</v>
      </c>
    </row>
    <row r="13" customFormat="false" ht="23.85" hidden="false" customHeight="false" outlineLevel="0" collapsed="false">
      <c r="A13" s="15" t="s">
        <v>37</v>
      </c>
      <c r="B13" s="15" t="s">
        <v>1492</v>
      </c>
      <c r="C13" s="15" t="s">
        <v>1493</v>
      </c>
      <c r="D13" s="15" t="s">
        <v>1461</v>
      </c>
      <c r="E13" s="20" t="s">
        <v>75</v>
      </c>
      <c r="F13" s="15" t="s">
        <v>1485</v>
      </c>
      <c r="G13" s="15" t="s">
        <v>1494</v>
      </c>
      <c r="H13" s="15" t="s">
        <v>723</v>
      </c>
      <c r="I13" s="15" t="s">
        <v>1464</v>
      </c>
      <c r="J13" s="15" t="s">
        <v>1465</v>
      </c>
      <c r="K13" s="15" t="s">
        <v>1495</v>
      </c>
    </row>
    <row r="14" customFormat="false" ht="23.85" hidden="false" customHeight="false" outlineLevel="0" collapsed="false">
      <c r="A14" s="15" t="s">
        <v>37</v>
      </c>
      <c r="B14" s="15" t="s">
        <v>1496</v>
      </c>
      <c r="C14" s="15" t="s">
        <v>1493</v>
      </c>
      <c r="D14" s="15" t="s">
        <v>1461</v>
      </c>
      <c r="E14" s="19" t="s">
        <v>74</v>
      </c>
      <c r="F14" s="15" t="s">
        <v>1485</v>
      </c>
      <c r="G14" s="15" t="s">
        <v>1497</v>
      </c>
      <c r="H14" s="15" t="s">
        <v>718</v>
      </c>
      <c r="I14" s="15" t="s">
        <v>1469</v>
      </c>
      <c r="J14" s="15" t="s">
        <v>1465</v>
      </c>
      <c r="K14" s="15" t="s">
        <v>1495</v>
      </c>
    </row>
    <row r="15" customFormat="false" ht="23.85" hidden="false" customHeight="false" outlineLevel="0" collapsed="false">
      <c r="A15" s="15" t="s">
        <v>37</v>
      </c>
      <c r="B15" s="15" t="s">
        <v>1498</v>
      </c>
      <c r="C15" s="15" t="s">
        <v>1493</v>
      </c>
      <c r="D15" s="15" t="s">
        <v>1461</v>
      </c>
      <c r="E15" s="16" t="s">
        <v>73</v>
      </c>
      <c r="F15" s="15" t="s">
        <v>1485</v>
      </c>
      <c r="G15" s="15" t="s">
        <v>1499</v>
      </c>
      <c r="H15" s="15" t="s">
        <v>713</v>
      </c>
      <c r="I15" s="15" t="s">
        <v>1472</v>
      </c>
      <c r="J15" s="15" t="s">
        <v>1473</v>
      </c>
      <c r="K15" s="15" t="s">
        <v>1495</v>
      </c>
    </row>
    <row r="16" customFormat="false" ht="35.05" hidden="false" customHeight="false" outlineLevel="0" collapsed="false">
      <c r="A16" s="15" t="s">
        <v>37</v>
      </c>
      <c r="B16" s="15" t="s">
        <v>1500</v>
      </c>
      <c r="C16" s="15" t="s">
        <v>1501</v>
      </c>
      <c r="D16" s="15" t="s">
        <v>1461</v>
      </c>
      <c r="E16" s="20" t="s">
        <v>75</v>
      </c>
      <c r="F16" s="15" t="s">
        <v>1502</v>
      </c>
      <c r="G16" s="15" t="s">
        <v>1503</v>
      </c>
      <c r="H16" s="15" t="s">
        <v>1504</v>
      </c>
      <c r="I16" s="15" t="s">
        <v>1464</v>
      </c>
      <c r="J16" s="15" t="s">
        <v>1465</v>
      </c>
      <c r="K16" s="15" t="s">
        <v>1505</v>
      </c>
    </row>
    <row r="17" customFormat="false" ht="35.05" hidden="false" customHeight="false" outlineLevel="0" collapsed="false">
      <c r="A17" s="15" t="s">
        <v>37</v>
      </c>
      <c r="B17" s="15" t="s">
        <v>1506</v>
      </c>
      <c r="C17" s="15" t="s">
        <v>1501</v>
      </c>
      <c r="D17" s="15" t="s">
        <v>1461</v>
      </c>
      <c r="E17" s="19" t="s">
        <v>74</v>
      </c>
      <c r="F17" s="15" t="s">
        <v>1502</v>
      </c>
      <c r="G17" s="15" t="s">
        <v>1507</v>
      </c>
      <c r="H17" s="15" t="s">
        <v>1508</v>
      </c>
      <c r="I17" s="15" t="s">
        <v>1469</v>
      </c>
      <c r="J17" s="15" t="s">
        <v>1465</v>
      </c>
      <c r="K17" s="15" t="s">
        <v>1505</v>
      </c>
    </row>
    <row r="18" customFormat="false" ht="23.85" hidden="false" customHeight="false" outlineLevel="0" collapsed="false">
      <c r="A18" s="15" t="s">
        <v>37</v>
      </c>
      <c r="B18" s="15" t="s">
        <v>1509</v>
      </c>
      <c r="C18" s="15" t="s">
        <v>1501</v>
      </c>
      <c r="D18" s="15" t="s">
        <v>1461</v>
      </c>
      <c r="E18" s="16" t="s">
        <v>73</v>
      </c>
      <c r="F18" s="15" t="s">
        <v>1502</v>
      </c>
      <c r="G18" s="15" t="s">
        <v>1510</v>
      </c>
      <c r="H18" s="15" t="s">
        <v>1511</v>
      </c>
      <c r="I18" s="15" t="s">
        <v>1472</v>
      </c>
      <c r="J18" s="15" t="s">
        <v>1473</v>
      </c>
      <c r="K18" s="15" t="s">
        <v>1505</v>
      </c>
    </row>
    <row r="19" customFormat="false" ht="23.85" hidden="false" customHeight="false" outlineLevel="0" collapsed="false">
      <c r="A19" s="15" t="s">
        <v>37</v>
      </c>
      <c r="B19" s="15" t="s">
        <v>1512</v>
      </c>
      <c r="C19" s="15" t="s">
        <v>1513</v>
      </c>
      <c r="D19" s="15" t="s">
        <v>1461</v>
      </c>
      <c r="E19" s="20" t="s">
        <v>75</v>
      </c>
      <c r="F19" s="15" t="s">
        <v>1514</v>
      </c>
      <c r="G19" s="15" t="s">
        <v>1515</v>
      </c>
      <c r="H19" s="15" t="s">
        <v>422</v>
      </c>
      <c r="I19" s="15" t="s">
        <v>1464</v>
      </c>
      <c r="J19" s="15" t="s">
        <v>1465</v>
      </c>
      <c r="K19" s="15" t="s">
        <v>1516</v>
      </c>
    </row>
    <row r="20" customFormat="false" ht="23.85" hidden="false" customHeight="false" outlineLevel="0" collapsed="false">
      <c r="A20" s="15" t="s">
        <v>37</v>
      </c>
      <c r="B20" s="15" t="s">
        <v>1517</v>
      </c>
      <c r="C20" s="15" t="s">
        <v>1513</v>
      </c>
      <c r="D20" s="15" t="s">
        <v>1461</v>
      </c>
      <c r="E20" s="19" t="s">
        <v>74</v>
      </c>
      <c r="F20" s="15" t="s">
        <v>1514</v>
      </c>
      <c r="G20" s="15" t="s">
        <v>1518</v>
      </c>
      <c r="H20" s="15" t="s">
        <v>420</v>
      </c>
      <c r="I20" s="15" t="s">
        <v>1469</v>
      </c>
      <c r="J20" s="15" t="s">
        <v>1465</v>
      </c>
      <c r="K20" s="15" t="s">
        <v>1516</v>
      </c>
    </row>
    <row r="21" customFormat="false" ht="23.85" hidden="false" customHeight="false" outlineLevel="0" collapsed="false">
      <c r="A21" s="15" t="s">
        <v>37</v>
      </c>
      <c r="B21" s="15" t="s">
        <v>1519</v>
      </c>
      <c r="C21" s="15" t="s">
        <v>1513</v>
      </c>
      <c r="D21" s="15" t="s">
        <v>1461</v>
      </c>
      <c r="E21" s="16" t="s">
        <v>73</v>
      </c>
      <c r="F21" s="15" t="s">
        <v>1514</v>
      </c>
      <c r="G21" s="15" t="s">
        <v>1520</v>
      </c>
      <c r="H21" s="15" t="s">
        <v>413</v>
      </c>
      <c r="I21" s="15" t="s">
        <v>1472</v>
      </c>
      <c r="J21" s="15" t="s">
        <v>1473</v>
      </c>
      <c r="K21" s="15" t="s">
        <v>1516</v>
      </c>
    </row>
    <row r="22" customFormat="false" ht="23.85" hidden="false" customHeight="false" outlineLevel="0" collapsed="false">
      <c r="A22" s="15" t="s">
        <v>37</v>
      </c>
      <c r="B22" s="15" t="s">
        <v>1521</v>
      </c>
      <c r="C22" s="15" t="s">
        <v>1522</v>
      </c>
      <c r="D22" s="15" t="s">
        <v>1461</v>
      </c>
      <c r="E22" s="20" t="s">
        <v>75</v>
      </c>
      <c r="F22" s="15" t="s">
        <v>1523</v>
      </c>
      <c r="G22" s="15" t="s">
        <v>1524</v>
      </c>
      <c r="H22" s="15" t="s">
        <v>617</v>
      </c>
      <c r="I22" s="15" t="s">
        <v>1464</v>
      </c>
      <c r="J22" s="15" t="s">
        <v>1465</v>
      </c>
      <c r="K22" s="15" t="s">
        <v>1525</v>
      </c>
    </row>
    <row r="23" customFormat="false" ht="23.85" hidden="false" customHeight="false" outlineLevel="0" collapsed="false">
      <c r="A23" s="15" t="s">
        <v>37</v>
      </c>
      <c r="B23" s="15" t="s">
        <v>1526</v>
      </c>
      <c r="C23" s="15" t="s">
        <v>1522</v>
      </c>
      <c r="D23" s="15" t="s">
        <v>1461</v>
      </c>
      <c r="E23" s="19" t="s">
        <v>74</v>
      </c>
      <c r="F23" s="15" t="s">
        <v>1523</v>
      </c>
      <c r="G23" s="15" t="s">
        <v>1527</v>
      </c>
      <c r="H23" s="15" t="s">
        <v>613</v>
      </c>
      <c r="I23" s="15" t="s">
        <v>1469</v>
      </c>
      <c r="J23" s="15" t="s">
        <v>1465</v>
      </c>
      <c r="K23" s="15" t="s">
        <v>1525</v>
      </c>
    </row>
    <row r="24" customFormat="false" ht="23.85" hidden="false" customHeight="false" outlineLevel="0" collapsed="false">
      <c r="A24" s="15" t="s">
        <v>37</v>
      </c>
      <c r="B24" s="15" t="s">
        <v>1528</v>
      </c>
      <c r="C24" s="15" t="s">
        <v>1522</v>
      </c>
      <c r="D24" s="15" t="s">
        <v>1461</v>
      </c>
      <c r="E24" s="16" t="s">
        <v>73</v>
      </c>
      <c r="F24" s="15" t="s">
        <v>1523</v>
      </c>
      <c r="G24" s="15" t="s">
        <v>1529</v>
      </c>
      <c r="H24" s="15" t="s">
        <v>606</v>
      </c>
      <c r="I24" s="15" t="s">
        <v>1472</v>
      </c>
      <c r="J24" s="15" t="s">
        <v>1473</v>
      </c>
      <c r="K24" s="15" t="s">
        <v>1525</v>
      </c>
    </row>
    <row r="25" customFormat="false" ht="23.85" hidden="false" customHeight="false" outlineLevel="0" collapsed="false">
      <c r="A25" s="15" t="s">
        <v>37</v>
      </c>
      <c r="B25" s="15" t="s">
        <v>1530</v>
      </c>
      <c r="C25" s="15" t="s">
        <v>1531</v>
      </c>
      <c r="D25" s="15" t="s">
        <v>1461</v>
      </c>
      <c r="E25" s="20" t="s">
        <v>75</v>
      </c>
      <c r="F25" s="15" t="s">
        <v>1532</v>
      </c>
      <c r="G25" s="15" t="s">
        <v>1533</v>
      </c>
      <c r="H25" s="15" t="s">
        <v>603</v>
      </c>
      <c r="I25" s="15" t="s">
        <v>1464</v>
      </c>
      <c r="J25" s="15" t="s">
        <v>1465</v>
      </c>
      <c r="K25" s="15" t="s">
        <v>1534</v>
      </c>
    </row>
    <row r="26" customFormat="false" ht="23.85" hidden="false" customHeight="false" outlineLevel="0" collapsed="false">
      <c r="A26" s="15" t="s">
        <v>37</v>
      </c>
      <c r="B26" s="15" t="s">
        <v>1535</v>
      </c>
      <c r="C26" s="15" t="s">
        <v>1531</v>
      </c>
      <c r="D26" s="15" t="s">
        <v>1461</v>
      </c>
      <c r="E26" s="19" t="s">
        <v>74</v>
      </c>
      <c r="F26" s="15" t="s">
        <v>1532</v>
      </c>
      <c r="G26" s="15" t="s">
        <v>1536</v>
      </c>
      <c r="H26" s="15" t="s">
        <v>598</v>
      </c>
      <c r="I26" s="15" t="s">
        <v>1469</v>
      </c>
      <c r="J26" s="15" t="s">
        <v>1465</v>
      </c>
      <c r="K26" s="15" t="s">
        <v>1534</v>
      </c>
    </row>
    <row r="27" customFormat="false" ht="23.85" hidden="false" customHeight="false" outlineLevel="0" collapsed="false">
      <c r="A27" s="15" t="s">
        <v>37</v>
      </c>
      <c r="B27" s="15" t="s">
        <v>1537</v>
      </c>
      <c r="C27" s="15" t="s">
        <v>1531</v>
      </c>
      <c r="D27" s="15" t="s">
        <v>1461</v>
      </c>
      <c r="E27" s="16" t="s">
        <v>73</v>
      </c>
      <c r="F27" s="15" t="s">
        <v>1532</v>
      </c>
      <c r="G27" s="15" t="s">
        <v>1538</v>
      </c>
      <c r="H27" s="15" t="s">
        <v>591</v>
      </c>
      <c r="I27" s="15" t="s">
        <v>1472</v>
      </c>
      <c r="J27" s="15" t="s">
        <v>1473</v>
      </c>
      <c r="K27" s="15" t="s">
        <v>1534</v>
      </c>
    </row>
    <row r="28" customFormat="false" ht="35.05" hidden="false" customHeight="false" outlineLevel="0" collapsed="false">
      <c r="A28" s="15" t="s">
        <v>37</v>
      </c>
      <c r="B28" s="15" t="s">
        <v>1539</v>
      </c>
      <c r="C28" s="15" t="s">
        <v>1540</v>
      </c>
      <c r="D28" s="15" t="s">
        <v>1461</v>
      </c>
      <c r="E28" s="20" t="s">
        <v>75</v>
      </c>
      <c r="F28" s="15" t="s">
        <v>1523</v>
      </c>
      <c r="G28" s="15" t="s">
        <v>1541</v>
      </c>
      <c r="H28" s="15" t="s">
        <v>1542</v>
      </c>
      <c r="I28" s="15" t="s">
        <v>1464</v>
      </c>
      <c r="J28" s="15" t="s">
        <v>1465</v>
      </c>
      <c r="K28" s="15" t="s">
        <v>1543</v>
      </c>
    </row>
    <row r="29" customFormat="false" ht="35.05" hidden="false" customHeight="false" outlineLevel="0" collapsed="false">
      <c r="A29" s="15" t="s">
        <v>37</v>
      </c>
      <c r="B29" s="15" t="s">
        <v>1544</v>
      </c>
      <c r="C29" s="15" t="s">
        <v>1540</v>
      </c>
      <c r="D29" s="15" t="s">
        <v>1461</v>
      </c>
      <c r="E29" s="19" t="s">
        <v>74</v>
      </c>
      <c r="F29" s="15" t="s">
        <v>1523</v>
      </c>
      <c r="G29" s="15" t="s">
        <v>1545</v>
      </c>
      <c r="H29" s="15" t="s">
        <v>1546</v>
      </c>
      <c r="I29" s="15" t="s">
        <v>1469</v>
      </c>
      <c r="J29" s="15" t="s">
        <v>1465</v>
      </c>
      <c r="K29" s="15" t="s">
        <v>1543</v>
      </c>
    </row>
    <row r="30" customFormat="false" ht="23.85" hidden="false" customHeight="false" outlineLevel="0" collapsed="false">
      <c r="A30" s="15" t="s">
        <v>37</v>
      </c>
      <c r="B30" s="15" t="s">
        <v>1547</v>
      </c>
      <c r="C30" s="15" t="s">
        <v>1540</v>
      </c>
      <c r="D30" s="15" t="s">
        <v>1461</v>
      </c>
      <c r="E30" s="16" t="s">
        <v>73</v>
      </c>
      <c r="F30" s="15" t="s">
        <v>1523</v>
      </c>
      <c r="G30" s="15" t="s">
        <v>1548</v>
      </c>
      <c r="H30" s="15" t="s">
        <v>1549</v>
      </c>
      <c r="I30" s="15" t="s">
        <v>1472</v>
      </c>
      <c r="J30" s="15" t="s">
        <v>1473</v>
      </c>
      <c r="K30" s="15" t="s">
        <v>1543</v>
      </c>
    </row>
    <row r="31" customFormat="false" ht="23.85" hidden="false" customHeight="false" outlineLevel="0" collapsed="false">
      <c r="A31" s="15" t="s">
        <v>37</v>
      </c>
      <c r="B31" s="15" t="s">
        <v>1550</v>
      </c>
      <c r="C31" s="15" t="s">
        <v>1551</v>
      </c>
      <c r="D31" s="15" t="s">
        <v>1461</v>
      </c>
      <c r="E31" s="20" t="s">
        <v>75</v>
      </c>
      <c r="F31" s="15" t="s">
        <v>1552</v>
      </c>
      <c r="G31" s="15" t="s">
        <v>1553</v>
      </c>
      <c r="H31" s="15" t="s">
        <v>635</v>
      </c>
      <c r="I31" s="15" t="s">
        <v>1464</v>
      </c>
      <c r="J31" s="15" t="s">
        <v>1465</v>
      </c>
      <c r="K31" s="15" t="s">
        <v>1554</v>
      </c>
    </row>
    <row r="32" customFormat="false" ht="23.85" hidden="false" customHeight="false" outlineLevel="0" collapsed="false">
      <c r="A32" s="15" t="s">
        <v>37</v>
      </c>
      <c r="B32" s="15" t="s">
        <v>1555</v>
      </c>
      <c r="C32" s="15" t="s">
        <v>1551</v>
      </c>
      <c r="D32" s="15" t="s">
        <v>1461</v>
      </c>
      <c r="E32" s="19" t="s">
        <v>74</v>
      </c>
      <c r="F32" s="15" t="s">
        <v>1552</v>
      </c>
      <c r="G32" s="15" t="s">
        <v>1556</v>
      </c>
      <c r="H32" s="15" t="s">
        <v>628</v>
      </c>
      <c r="I32" s="15" t="s">
        <v>1469</v>
      </c>
      <c r="J32" s="15" t="s">
        <v>1465</v>
      </c>
      <c r="K32" s="15" t="s">
        <v>1554</v>
      </c>
    </row>
    <row r="33" customFormat="false" ht="23.85" hidden="false" customHeight="false" outlineLevel="0" collapsed="false">
      <c r="A33" s="15" t="s">
        <v>37</v>
      </c>
      <c r="B33" s="15" t="s">
        <v>1557</v>
      </c>
      <c r="C33" s="15" t="s">
        <v>1551</v>
      </c>
      <c r="D33" s="15" t="s">
        <v>1461</v>
      </c>
      <c r="E33" s="16" t="s">
        <v>73</v>
      </c>
      <c r="F33" s="15" t="s">
        <v>1552</v>
      </c>
      <c r="G33" s="15" t="s">
        <v>1558</v>
      </c>
      <c r="H33" s="15" t="s">
        <v>624</v>
      </c>
      <c r="I33" s="15" t="s">
        <v>1472</v>
      </c>
      <c r="J33" s="15" t="s">
        <v>1473</v>
      </c>
      <c r="K33" s="15" t="s">
        <v>1554</v>
      </c>
    </row>
    <row r="34" customFormat="false" ht="35.05" hidden="false" customHeight="false" outlineLevel="0" collapsed="false">
      <c r="A34" s="15" t="s">
        <v>37</v>
      </c>
      <c r="B34" s="15" t="s">
        <v>1559</v>
      </c>
      <c r="C34" s="15" t="s">
        <v>1560</v>
      </c>
      <c r="D34" s="15" t="s">
        <v>1461</v>
      </c>
      <c r="E34" s="20" t="s">
        <v>75</v>
      </c>
      <c r="F34" s="15" t="s">
        <v>1561</v>
      </c>
      <c r="G34" s="15" t="s">
        <v>1562</v>
      </c>
      <c r="H34" s="15" t="s">
        <v>1563</v>
      </c>
      <c r="I34" s="15" t="s">
        <v>1464</v>
      </c>
      <c r="J34" s="15" t="s">
        <v>1465</v>
      </c>
      <c r="K34" s="15" t="s">
        <v>1564</v>
      </c>
    </row>
    <row r="35" customFormat="false" ht="35.05" hidden="false" customHeight="false" outlineLevel="0" collapsed="false">
      <c r="A35" s="15" t="s">
        <v>37</v>
      </c>
      <c r="B35" s="15" t="s">
        <v>1565</v>
      </c>
      <c r="C35" s="15" t="s">
        <v>1560</v>
      </c>
      <c r="D35" s="15" t="s">
        <v>1461</v>
      </c>
      <c r="E35" s="19" t="s">
        <v>74</v>
      </c>
      <c r="F35" s="15" t="s">
        <v>1561</v>
      </c>
      <c r="G35" s="15" t="s">
        <v>1566</v>
      </c>
      <c r="H35" s="15" t="s">
        <v>1567</v>
      </c>
      <c r="I35" s="15" t="s">
        <v>1469</v>
      </c>
      <c r="J35" s="15" t="s">
        <v>1465</v>
      </c>
      <c r="K35" s="15" t="s">
        <v>1564</v>
      </c>
    </row>
    <row r="36" customFormat="false" ht="35.05" hidden="false" customHeight="false" outlineLevel="0" collapsed="false">
      <c r="A36" s="15" t="s">
        <v>37</v>
      </c>
      <c r="B36" s="15" t="s">
        <v>1568</v>
      </c>
      <c r="C36" s="15" t="s">
        <v>1560</v>
      </c>
      <c r="D36" s="15" t="s">
        <v>1461</v>
      </c>
      <c r="E36" s="16" t="s">
        <v>73</v>
      </c>
      <c r="F36" s="15" t="s">
        <v>1561</v>
      </c>
      <c r="G36" s="15" t="s">
        <v>1569</v>
      </c>
      <c r="H36" s="15" t="s">
        <v>1570</v>
      </c>
      <c r="I36" s="15" t="s">
        <v>1472</v>
      </c>
      <c r="J36" s="15" t="s">
        <v>1473</v>
      </c>
      <c r="K36" s="15" t="s">
        <v>1564</v>
      </c>
    </row>
    <row r="37" customFormat="false" ht="23.85" hidden="false" customHeight="false" outlineLevel="0" collapsed="false">
      <c r="A37" s="15" t="s">
        <v>37</v>
      </c>
      <c r="B37" s="15" t="s">
        <v>1571</v>
      </c>
      <c r="C37" s="15" t="s">
        <v>1572</v>
      </c>
      <c r="D37" s="15" t="s">
        <v>1461</v>
      </c>
      <c r="E37" s="20" t="s">
        <v>75</v>
      </c>
      <c r="F37" s="15" t="s">
        <v>1573</v>
      </c>
      <c r="G37" s="15" t="s">
        <v>1574</v>
      </c>
      <c r="H37" s="15" t="s">
        <v>812</v>
      </c>
      <c r="I37" s="15" t="s">
        <v>1464</v>
      </c>
      <c r="J37" s="15" t="s">
        <v>1465</v>
      </c>
      <c r="K37" s="15" t="s">
        <v>1575</v>
      </c>
    </row>
    <row r="38" customFormat="false" ht="23.85" hidden="false" customHeight="false" outlineLevel="0" collapsed="false">
      <c r="A38" s="15" t="s">
        <v>37</v>
      </c>
      <c r="B38" s="15" t="s">
        <v>1576</v>
      </c>
      <c r="C38" s="15" t="s">
        <v>1572</v>
      </c>
      <c r="D38" s="15" t="s">
        <v>1461</v>
      </c>
      <c r="E38" s="19" t="s">
        <v>74</v>
      </c>
      <c r="F38" s="15" t="s">
        <v>1573</v>
      </c>
      <c r="G38" s="15" t="s">
        <v>1577</v>
      </c>
      <c r="H38" s="15" t="s">
        <v>805</v>
      </c>
      <c r="I38" s="15" t="s">
        <v>1469</v>
      </c>
      <c r="J38" s="15" t="s">
        <v>1465</v>
      </c>
      <c r="K38" s="15" t="s">
        <v>1575</v>
      </c>
    </row>
    <row r="39" customFormat="false" ht="23.85" hidden="false" customHeight="false" outlineLevel="0" collapsed="false">
      <c r="A39" s="15" t="s">
        <v>37</v>
      </c>
      <c r="B39" s="15" t="s">
        <v>1578</v>
      </c>
      <c r="C39" s="15" t="s">
        <v>1572</v>
      </c>
      <c r="D39" s="15" t="s">
        <v>1461</v>
      </c>
      <c r="E39" s="16" t="s">
        <v>73</v>
      </c>
      <c r="F39" s="15" t="s">
        <v>1573</v>
      </c>
      <c r="G39" s="15" t="s">
        <v>1579</v>
      </c>
      <c r="H39" s="15" t="s">
        <v>799</v>
      </c>
      <c r="I39" s="15" t="s">
        <v>1472</v>
      </c>
      <c r="J39" s="15" t="s">
        <v>1473</v>
      </c>
      <c r="K39" s="15" t="s">
        <v>1575</v>
      </c>
    </row>
    <row r="40" customFormat="false" ht="23.85" hidden="false" customHeight="false" outlineLevel="0" collapsed="false">
      <c r="A40" s="15" t="s">
        <v>37</v>
      </c>
      <c r="B40" s="15" t="s">
        <v>1580</v>
      </c>
      <c r="C40" s="15" t="s">
        <v>1581</v>
      </c>
      <c r="D40" s="15" t="s">
        <v>1461</v>
      </c>
      <c r="E40" s="20" t="s">
        <v>75</v>
      </c>
      <c r="F40" s="15" t="s">
        <v>1582</v>
      </c>
      <c r="G40" s="15" t="s">
        <v>1583</v>
      </c>
      <c r="H40" s="15" t="s">
        <v>763</v>
      </c>
      <c r="I40" s="15" t="s">
        <v>1464</v>
      </c>
      <c r="J40" s="15" t="s">
        <v>1465</v>
      </c>
      <c r="K40" s="15" t="s">
        <v>1584</v>
      </c>
    </row>
    <row r="41" customFormat="false" ht="23.85" hidden="false" customHeight="false" outlineLevel="0" collapsed="false">
      <c r="A41" s="15" t="s">
        <v>37</v>
      </c>
      <c r="B41" s="15" t="s">
        <v>1585</v>
      </c>
      <c r="C41" s="15" t="s">
        <v>1581</v>
      </c>
      <c r="D41" s="15" t="s">
        <v>1461</v>
      </c>
      <c r="E41" s="19" t="s">
        <v>74</v>
      </c>
      <c r="F41" s="15" t="s">
        <v>1582</v>
      </c>
      <c r="G41" s="15" t="s">
        <v>1586</v>
      </c>
      <c r="H41" s="15" t="s">
        <v>757</v>
      </c>
      <c r="I41" s="15" t="s">
        <v>1469</v>
      </c>
      <c r="J41" s="15" t="s">
        <v>1465</v>
      </c>
      <c r="K41" s="15" t="s">
        <v>1584</v>
      </c>
    </row>
    <row r="42" customFormat="false" ht="23.85" hidden="false" customHeight="false" outlineLevel="0" collapsed="false">
      <c r="A42" s="15" t="s">
        <v>37</v>
      </c>
      <c r="B42" s="15" t="s">
        <v>1587</v>
      </c>
      <c r="C42" s="15" t="s">
        <v>1581</v>
      </c>
      <c r="D42" s="15" t="s">
        <v>1461</v>
      </c>
      <c r="E42" s="16" t="s">
        <v>73</v>
      </c>
      <c r="F42" s="15" t="s">
        <v>1582</v>
      </c>
      <c r="G42" s="15" t="s">
        <v>1588</v>
      </c>
      <c r="H42" s="15" t="s">
        <v>752</v>
      </c>
      <c r="I42" s="15" t="s">
        <v>1472</v>
      </c>
      <c r="J42" s="15" t="s">
        <v>1473</v>
      </c>
      <c r="K42" s="15" t="s">
        <v>1584</v>
      </c>
    </row>
    <row r="43" customFormat="false" ht="35.05" hidden="false" customHeight="false" outlineLevel="0" collapsed="false">
      <c r="A43" s="15" t="s">
        <v>37</v>
      </c>
      <c r="B43" s="15" t="s">
        <v>1589</v>
      </c>
      <c r="C43" s="15" t="s">
        <v>1590</v>
      </c>
      <c r="D43" s="15" t="s">
        <v>1461</v>
      </c>
      <c r="E43" s="20" t="s">
        <v>75</v>
      </c>
      <c r="F43" s="15" t="s">
        <v>1591</v>
      </c>
      <c r="G43" s="15" t="s">
        <v>1592</v>
      </c>
      <c r="H43" s="15" t="s">
        <v>1593</v>
      </c>
      <c r="I43" s="15" t="s">
        <v>1464</v>
      </c>
      <c r="J43" s="15" t="s">
        <v>1465</v>
      </c>
      <c r="K43" s="15" t="s">
        <v>1594</v>
      </c>
    </row>
    <row r="44" customFormat="false" ht="35.05" hidden="false" customHeight="false" outlineLevel="0" collapsed="false">
      <c r="A44" s="15" t="s">
        <v>37</v>
      </c>
      <c r="B44" s="15" t="s">
        <v>1595</v>
      </c>
      <c r="C44" s="15" t="s">
        <v>1590</v>
      </c>
      <c r="D44" s="15" t="s">
        <v>1461</v>
      </c>
      <c r="E44" s="19" t="s">
        <v>74</v>
      </c>
      <c r="F44" s="15" t="s">
        <v>1591</v>
      </c>
      <c r="G44" s="15" t="s">
        <v>1596</v>
      </c>
      <c r="H44" s="15" t="s">
        <v>1597</v>
      </c>
      <c r="I44" s="15" t="s">
        <v>1469</v>
      </c>
      <c r="J44" s="15" t="s">
        <v>1465</v>
      </c>
      <c r="K44" s="15" t="s">
        <v>1594</v>
      </c>
    </row>
    <row r="45" customFormat="false" ht="23.85" hidden="false" customHeight="false" outlineLevel="0" collapsed="false">
      <c r="A45" s="15" t="s">
        <v>37</v>
      </c>
      <c r="B45" s="15" t="s">
        <v>1598</v>
      </c>
      <c r="C45" s="15" t="s">
        <v>1590</v>
      </c>
      <c r="D45" s="15" t="s">
        <v>1461</v>
      </c>
      <c r="E45" s="16" t="s">
        <v>73</v>
      </c>
      <c r="F45" s="15" t="s">
        <v>1591</v>
      </c>
      <c r="G45" s="15" t="s">
        <v>1599</v>
      </c>
      <c r="H45" s="15" t="s">
        <v>1600</v>
      </c>
      <c r="I45" s="15" t="s">
        <v>1472</v>
      </c>
      <c r="J45" s="15" t="s">
        <v>1473</v>
      </c>
      <c r="K45" s="15" t="s">
        <v>1594</v>
      </c>
    </row>
    <row r="46" customFormat="false" ht="23.85" hidden="false" customHeight="false" outlineLevel="0" collapsed="false">
      <c r="A46" s="15" t="s">
        <v>37</v>
      </c>
      <c r="B46" s="15" t="s">
        <v>1601</v>
      </c>
      <c r="C46" s="15" t="s">
        <v>1602</v>
      </c>
      <c r="D46" s="15" t="s">
        <v>1461</v>
      </c>
      <c r="E46" s="20" t="s">
        <v>75</v>
      </c>
      <c r="F46" s="15" t="s">
        <v>1485</v>
      </c>
      <c r="G46" s="15" t="s">
        <v>1603</v>
      </c>
      <c r="H46" s="15" t="s">
        <v>842</v>
      </c>
      <c r="I46" s="15" t="s">
        <v>1464</v>
      </c>
      <c r="J46" s="15" t="s">
        <v>1465</v>
      </c>
      <c r="K46" s="15" t="s">
        <v>1604</v>
      </c>
    </row>
    <row r="47" customFormat="false" ht="23.85" hidden="false" customHeight="false" outlineLevel="0" collapsed="false">
      <c r="A47" s="15" t="s">
        <v>37</v>
      </c>
      <c r="B47" s="15" t="s">
        <v>1605</v>
      </c>
      <c r="C47" s="15" t="s">
        <v>1602</v>
      </c>
      <c r="D47" s="15" t="s">
        <v>1461</v>
      </c>
      <c r="E47" s="19" t="s">
        <v>74</v>
      </c>
      <c r="F47" s="15" t="s">
        <v>1485</v>
      </c>
      <c r="G47" s="15" t="s">
        <v>1606</v>
      </c>
      <c r="H47" s="15" t="s">
        <v>838</v>
      </c>
      <c r="I47" s="15" t="s">
        <v>1469</v>
      </c>
      <c r="J47" s="15" t="s">
        <v>1465</v>
      </c>
      <c r="K47" s="15" t="s">
        <v>1604</v>
      </c>
    </row>
    <row r="48" customFormat="false" ht="23.85" hidden="false" customHeight="false" outlineLevel="0" collapsed="false">
      <c r="A48" s="15" t="s">
        <v>37</v>
      </c>
      <c r="B48" s="15" t="s">
        <v>1607</v>
      </c>
      <c r="C48" s="15" t="s">
        <v>1602</v>
      </c>
      <c r="D48" s="15" t="s">
        <v>1461</v>
      </c>
      <c r="E48" s="16" t="s">
        <v>73</v>
      </c>
      <c r="F48" s="15" t="s">
        <v>1485</v>
      </c>
      <c r="G48" s="15" t="s">
        <v>1608</v>
      </c>
      <c r="H48" s="15" t="s">
        <v>833</v>
      </c>
      <c r="I48" s="15" t="s">
        <v>1472</v>
      </c>
      <c r="J48" s="15" t="s">
        <v>1473</v>
      </c>
      <c r="K48" s="15" t="s">
        <v>1604</v>
      </c>
    </row>
    <row r="49" customFormat="false" ht="23.85" hidden="false" customHeight="false" outlineLevel="0" collapsed="false">
      <c r="A49" s="15" t="s">
        <v>37</v>
      </c>
      <c r="B49" s="15" t="s">
        <v>1609</v>
      </c>
      <c r="C49" s="15" t="s">
        <v>126</v>
      </c>
      <c r="D49" s="15" t="s">
        <v>1461</v>
      </c>
      <c r="E49" s="20" t="s">
        <v>75</v>
      </c>
      <c r="F49" s="15" t="s">
        <v>1610</v>
      </c>
      <c r="G49" s="15" t="s">
        <v>1611</v>
      </c>
      <c r="H49" s="15" t="s">
        <v>870</v>
      </c>
      <c r="I49" s="15" t="s">
        <v>1464</v>
      </c>
      <c r="J49" s="15" t="s">
        <v>1465</v>
      </c>
      <c r="K49" s="15" t="s">
        <v>1612</v>
      </c>
    </row>
    <row r="50" customFormat="false" ht="23.85" hidden="false" customHeight="false" outlineLevel="0" collapsed="false">
      <c r="A50" s="15" t="s">
        <v>37</v>
      </c>
      <c r="B50" s="15" t="s">
        <v>1613</v>
      </c>
      <c r="C50" s="15" t="s">
        <v>126</v>
      </c>
      <c r="D50" s="15" t="s">
        <v>1461</v>
      </c>
      <c r="E50" s="19" t="s">
        <v>74</v>
      </c>
      <c r="F50" s="15" t="s">
        <v>1610</v>
      </c>
      <c r="G50" s="15" t="s">
        <v>1614</v>
      </c>
      <c r="H50" s="15" t="s">
        <v>865</v>
      </c>
      <c r="I50" s="15" t="s">
        <v>1469</v>
      </c>
      <c r="J50" s="15" t="s">
        <v>1465</v>
      </c>
      <c r="K50" s="15" t="s">
        <v>1612</v>
      </c>
    </row>
    <row r="51" customFormat="false" ht="23.85" hidden="false" customHeight="false" outlineLevel="0" collapsed="false">
      <c r="A51" s="15" t="s">
        <v>37</v>
      </c>
      <c r="B51" s="15" t="s">
        <v>1615</v>
      </c>
      <c r="C51" s="15" t="s">
        <v>126</v>
      </c>
      <c r="D51" s="15" t="s">
        <v>1461</v>
      </c>
      <c r="E51" s="16" t="s">
        <v>73</v>
      </c>
      <c r="F51" s="15" t="s">
        <v>1610</v>
      </c>
      <c r="G51" s="15" t="s">
        <v>1616</v>
      </c>
      <c r="H51" s="15" t="s">
        <v>860</v>
      </c>
      <c r="I51" s="15" t="s">
        <v>1472</v>
      </c>
      <c r="J51" s="15" t="s">
        <v>1473</v>
      </c>
      <c r="K51" s="15" t="s">
        <v>1612</v>
      </c>
    </row>
    <row r="52" customFormat="false" ht="23.85" hidden="false" customHeight="false" outlineLevel="0" collapsed="false">
      <c r="A52" s="15" t="s">
        <v>37</v>
      </c>
      <c r="B52" s="15" t="s">
        <v>1617</v>
      </c>
      <c r="C52" s="15" t="s">
        <v>184</v>
      </c>
      <c r="D52" s="15" t="s">
        <v>1461</v>
      </c>
      <c r="E52" s="20" t="s">
        <v>75</v>
      </c>
      <c r="F52" s="15" t="s">
        <v>1618</v>
      </c>
      <c r="G52" s="15" t="s">
        <v>1619</v>
      </c>
      <c r="H52" s="15" t="s">
        <v>1013</v>
      </c>
      <c r="I52" s="15" t="s">
        <v>1464</v>
      </c>
      <c r="J52" s="15" t="s">
        <v>1465</v>
      </c>
      <c r="K52" s="15" t="s">
        <v>1620</v>
      </c>
    </row>
    <row r="53" customFormat="false" ht="23.85" hidden="false" customHeight="false" outlineLevel="0" collapsed="false">
      <c r="A53" s="15" t="s">
        <v>37</v>
      </c>
      <c r="B53" s="15" t="s">
        <v>1621</v>
      </c>
      <c r="C53" s="15" t="s">
        <v>184</v>
      </c>
      <c r="D53" s="15" t="s">
        <v>1461</v>
      </c>
      <c r="E53" s="19" t="s">
        <v>74</v>
      </c>
      <c r="F53" s="15" t="s">
        <v>1618</v>
      </c>
      <c r="G53" s="15" t="s">
        <v>1622</v>
      </c>
      <c r="H53" s="15" t="s">
        <v>1008</v>
      </c>
      <c r="I53" s="15" t="s">
        <v>1469</v>
      </c>
      <c r="J53" s="15" t="s">
        <v>1465</v>
      </c>
      <c r="K53" s="15" t="s">
        <v>1620</v>
      </c>
    </row>
    <row r="54" customFormat="false" ht="23.85" hidden="false" customHeight="false" outlineLevel="0" collapsed="false">
      <c r="A54" s="15" t="s">
        <v>37</v>
      </c>
      <c r="B54" s="15" t="s">
        <v>1623</v>
      </c>
      <c r="C54" s="15" t="s">
        <v>184</v>
      </c>
      <c r="D54" s="15" t="s">
        <v>1461</v>
      </c>
      <c r="E54" s="16" t="s">
        <v>73</v>
      </c>
      <c r="F54" s="15" t="s">
        <v>1618</v>
      </c>
      <c r="G54" s="15" t="s">
        <v>1624</v>
      </c>
      <c r="H54" s="15" t="s">
        <v>1003</v>
      </c>
      <c r="I54" s="15" t="s">
        <v>1472</v>
      </c>
      <c r="J54" s="15" t="s">
        <v>1473</v>
      </c>
      <c r="K54" s="15" t="s">
        <v>1620</v>
      </c>
    </row>
    <row r="55" customFormat="false" ht="23.85" hidden="false" customHeight="false" outlineLevel="0" collapsed="false">
      <c r="A55" s="15" t="s">
        <v>37</v>
      </c>
      <c r="B55" s="15" t="s">
        <v>1625</v>
      </c>
      <c r="C55" s="15" t="s">
        <v>1626</v>
      </c>
      <c r="D55" s="15" t="s">
        <v>1461</v>
      </c>
      <c r="E55" s="20" t="s">
        <v>75</v>
      </c>
      <c r="F55" s="15" t="s">
        <v>1627</v>
      </c>
      <c r="G55" s="15" t="s">
        <v>1628</v>
      </c>
      <c r="H55" s="15" t="s">
        <v>930</v>
      </c>
      <c r="I55" s="15" t="s">
        <v>1464</v>
      </c>
      <c r="J55" s="15" t="s">
        <v>1465</v>
      </c>
      <c r="K55" s="15" t="s">
        <v>1629</v>
      </c>
    </row>
    <row r="56" customFormat="false" ht="23.85" hidden="false" customHeight="false" outlineLevel="0" collapsed="false">
      <c r="A56" s="15" t="s">
        <v>37</v>
      </c>
      <c r="B56" s="15" t="s">
        <v>1630</v>
      </c>
      <c r="C56" s="15" t="s">
        <v>1626</v>
      </c>
      <c r="D56" s="15" t="s">
        <v>1461</v>
      </c>
      <c r="E56" s="19" t="s">
        <v>74</v>
      </c>
      <c r="F56" s="15" t="s">
        <v>1627</v>
      </c>
      <c r="G56" s="15" t="s">
        <v>1631</v>
      </c>
      <c r="H56" s="15" t="s">
        <v>923</v>
      </c>
      <c r="I56" s="15" t="s">
        <v>1469</v>
      </c>
      <c r="J56" s="15" t="s">
        <v>1465</v>
      </c>
      <c r="K56" s="15" t="s">
        <v>1629</v>
      </c>
    </row>
    <row r="57" customFormat="false" ht="23.85" hidden="false" customHeight="false" outlineLevel="0" collapsed="false">
      <c r="A57" s="15" t="s">
        <v>37</v>
      </c>
      <c r="B57" s="15" t="s">
        <v>1632</v>
      </c>
      <c r="C57" s="15" t="s">
        <v>1626</v>
      </c>
      <c r="D57" s="15" t="s">
        <v>1461</v>
      </c>
      <c r="E57" s="16" t="s">
        <v>73</v>
      </c>
      <c r="F57" s="15" t="s">
        <v>1627</v>
      </c>
      <c r="G57" s="15" t="s">
        <v>1633</v>
      </c>
      <c r="H57" s="15" t="s">
        <v>916</v>
      </c>
      <c r="I57" s="15" t="s">
        <v>1472</v>
      </c>
      <c r="J57" s="15" t="s">
        <v>1473</v>
      </c>
      <c r="K57" s="15" t="s">
        <v>1629</v>
      </c>
    </row>
    <row r="58" customFormat="false" ht="35.05" hidden="false" customHeight="false" outlineLevel="0" collapsed="false">
      <c r="A58" s="15" t="s">
        <v>37</v>
      </c>
      <c r="B58" s="15" t="s">
        <v>1634</v>
      </c>
      <c r="C58" s="15" t="s">
        <v>1635</v>
      </c>
      <c r="D58" s="15" t="s">
        <v>1461</v>
      </c>
      <c r="E58" s="20" t="s">
        <v>75</v>
      </c>
      <c r="F58" s="15" t="s">
        <v>1636</v>
      </c>
      <c r="G58" s="15" t="s">
        <v>1637</v>
      </c>
      <c r="H58" s="15" t="s">
        <v>1638</v>
      </c>
      <c r="I58" s="15" t="s">
        <v>1464</v>
      </c>
      <c r="J58" s="15" t="s">
        <v>1465</v>
      </c>
      <c r="K58" s="15" t="s">
        <v>1639</v>
      </c>
    </row>
    <row r="59" customFormat="false" ht="35.05" hidden="false" customHeight="false" outlineLevel="0" collapsed="false">
      <c r="A59" s="15" t="s">
        <v>37</v>
      </c>
      <c r="B59" s="15" t="s">
        <v>1640</v>
      </c>
      <c r="C59" s="15" t="s">
        <v>1635</v>
      </c>
      <c r="D59" s="15" t="s">
        <v>1461</v>
      </c>
      <c r="E59" s="19" t="s">
        <v>74</v>
      </c>
      <c r="F59" s="15" t="s">
        <v>1636</v>
      </c>
      <c r="G59" s="15" t="s">
        <v>1641</v>
      </c>
      <c r="H59" s="15" t="s">
        <v>1642</v>
      </c>
      <c r="I59" s="15" t="s">
        <v>1469</v>
      </c>
      <c r="J59" s="15" t="s">
        <v>1465</v>
      </c>
      <c r="K59" s="15" t="s">
        <v>1639</v>
      </c>
    </row>
    <row r="60" customFormat="false" ht="23.85" hidden="false" customHeight="false" outlineLevel="0" collapsed="false">
      <c r="A60" s="15" t="s">
        <v>37</v>
      </c>
      <c r="B60" s="15" t="s">
        <v>1643</v>
      </c>
      <c r="C60" s="15" t="s">
        <v>1635</v>
      </c>
      <c r="D60" s="15" t="s">
        <v>1461</v>
      </c>
      <c r="E60" s="16" t="s">
        <v>73</v>
      </c>
      <c r="F60" s="15" t="s">
        <v>1636</v>
      </c>
      <c r="G60" s="15" t="s">
        <v>1644</v>
      </c>
      <c r="H60" s="15" t="s">
        <v>1645</v>
      </c>
      <c r="I60" s="15" t="s">
        <v>1472</v>
      </c>
      <c r="J60" s="15" t="s">
        <v>1473</v>
      </c>
      <c r="K60" s="15" t="s">
        <v>1639</v>
      </c>
    </row>
    <row r="61" customFormat="false" ht="79.85" hidden="false" customHeight="false" outlineLevel="0" collapsed="false">
      <c r="A61" s="15" t="s">
        <v>37</v>
      </c>
      <c r="B61" s="15" t="s">
        <v>1646</v>
      </c>
      <c r="C61" s="15" t="s">
        <v>90</v>
      </c>
      <c r="D61" s="15" t="s">
        <v>81</v>
      </c>
      <c r="E61" s="20" t="s">
        <v>75</v>
      </c>
      <c r="F61" s="15" t="s">
        <v>1647</v>
      </c>
      <c r="G61" s="15" t="s">
        <v>1648</v>
      </c>
      <c r="H61" s="15" t="s">
        <v>1649</v>
      </c>
      <c r="I61" s="15" t="s">
        <v>1650</v>
      </c>
      <c r="J61" s="15" t="s">
        <v>1465</v>
      </c>
      <c r="K61" s="15" t="s">
        <v>1651</v>
      </c>
    </row>
    <row r="62" customFormat="false" ht="79.85" hidden="false" customHeight="false" outlineLevel="0" collapsed="false">
      <c r="A62" s="15" t="s">
        <v>37</v>
      </c>
      <c r="B62" s="15" t="s">
        <v>1652</v>
      </c>
      <c r="C62" s="15" t="s">
        <v>90</v>
      </c>
      <c r="D62" s="15" t="s">
        <v>81</v>
      </c>
      <c r="E62" s="19" t="s">
        <v>74</v>
      </c>
      <c r="F62" s="15" t="s">
        <v>1647</v>
      </c>
      <c r="G62" s="15" t="s">
        <v>1653</v>
      </c>
      <c r="H62" s="15" t="s">
        <v>1654</v>
      </c>
      <c r="I62" s="15" t="s">
        <v>1655</v>
      </c>
      <c r="J62" s="15" t="s">
        <v>1465</v>
      </c>
      <c r="K62" s="15" t="s">
        <v>1651</v>
      </c>
    </row>
    <row r="63" customFormat="false" ht="79.85" hidden="false" customHeight="false" outlineLevel="0" collapsed="false">
      <c r="A63" s="15" t="s">
        <v>37</v>
      </c>
      <c r="B63" s="15" t="s">
        <v>1656</v>
      </c>
      <c r="C63" s="15" t="s">
        <v>90</v>
      </c>
      <c r="D63" s="15" t="s">
        <v>81</v>
      </c>
      <c r="E63" s="16" t="s">
        <v>73</v>
      </c>
      <c r="F63" s="15" t="s">
        <v>1647</v>
      </c>
      <c r="G63" s="15" t="s">
        <v>1657</v>
      </c>
      <c r="H63" s="15" t="s">
        <v>1658</v>
      </c>
      <c r="I63" s="15" t="s">
        <v>1659</v>
      </c>
      <c r="J63" s="15" t="s">
        <v>1473</v>
      </c>
      <c r="K63" s="15" t="s">
        <v>1651</v>
      </c>
    </row>
    <row r="64" customFormat="false" ht="68.65" hidden="false" customHeight="false" outlineLevel="0" collapsed="false">
      <c r="A64" s="15" t="s">
        <v>37</v>
      </c>
      <c r="B64" s="15" t="s">
        <v>1660</v>
      </c>
      <c r="C64" s="15" t="s">
        <v>191</v>
      </c>
      <c r="D64" s="15" t="s">
        <v>81</v>
      </c>
      <c r="E64" s="20" t="s">
        <v>75</v>
      </c>
      <c r="F64" s="15" t="s">
        <v>1661</v>
      </c>
      <c r="G64" s="15" t="s">
        <v>1662</v>
      </c>
      <c r="H64" s="15" t="s">
        <v>1663</v>
      </c>
      <c r="I64" s="15" t="s">
        <v>1664</v>
      </c>
      <c r="J64" s="15" t="s">
        <v>1465</v>
      </c>
      <c r="K64" s="15" t="s">
        <v>1665</v>
      </c>
    </row>
    <row r="65" customFormat="false" ht="68.65" hidden="false" customHeight="false" outlineLevel="0" collapsed="false">
      <c r="A65" s="15" t="s">
        <v>37</v>
      </c>
      <c r="B65" s="15" t="s">
        <v>1666</v>
      </c>
      <c r="C65" s="15" t="s">
        <v>191</v>
      </c>
      <c r="D65" s="15" t="s">
        <v>81</v>
      </c>
      <c r="E65" s="19" t="s">
        <v>74</v>
      </c>
      <c r="F65" s="15" t="s">
        <v>1661</v>
      </c>
      <c r="G65" s="15" t="s">
        <v>1667</v>
      </c>
      <c r="H65" s="15" t="s">
        <v>1668</v>
      </c>
      <c r="I65" s="15" t="s">
        <v>1669</v>
      </c>
      <c r="J65" s="15" t="s">
        <v>1465</v>
      </c>
      <c r="K65" s="15" t="s">
        <v>1665</v>
      </c>
    </row>
    <row r="66" customFormat="false" ht="68.65" hidden="false" customHeight="false" outlineLevel="0" collapsed="false">
      <c r="A66" s="15" t="s">
        <v>37</v>
      </c>
      <c r="B66" s="15" t="s">
        <v>1670</v>
      </c>
      <c r="C66" s="15" t="s">
        <v>191</v>
      </c>
      <c r="D66" s="15" t="s">
        <v>81</v>
      </c>
      <c r="E66" s="16" t="s">
        <v>73</v>
      </c>
      <c r="F66" s="15" t="s">
        <v>1661</v>
      </c>
      <c r="G66" s="15" t="s">
        <v>1671</v>
      </c>
      <c r="H66" s="15" t="s">
        <v>1672</v>
      </c>
      <c r="I66" s="15" t="s">
        <v>1673</v>
      </c>
      <c r="J66" s="15" t="s">
        <v>1473</v>
      </c>
      <c r="K66" s="15" t="s">
        <v>1665</v>
      </c>
    </row>
    <row r="67" customFormat="false" ht="35.05" hidden="false" customHeight="false" outlineLevel="0" collapsed="false">
      <c r="A67" s="15" t="s">
        <v>37</v>
      </c>
      <c r="B67" s="15" t="s">
        <v>1674</v>
      </c>
      <c r="C67" s="15" t="s">
        <v>249</v>
      </c>
      <c r="D67" s="15" t="s">
        <v>81</v>
      </c>
      <c r="E67" s="20" t="s">
        <v>75</v>
      </c>
      <c r="F67" s="15" t="s">
        <v>1675</v>
      </c>
      <c r="G67" s="15" t="s">
        <v>1541</v>
      </c>
      <c r="H67" s="15" t="s">
        <v>1542</v>
      </c>
      <c r="I67" s="15" t="s">
        <v>1676</v>
      </c>
      <c r="J67" s="15" t="s">
        <v>1465</v>
      </c>
      <c r="K67" s="15" t="s">
        <v>1543</v>
      </c>
    </row>
    <row r="68" customFormat="false" ht="35.05" hidden="false" customHeight="false" outlineLevel="0" collapsed="false">
      <c r="A68" s="15" t="s">
        <v>37</v>
      </c>
      <c r="B68" s="15" t="s">
        <v>1677</v>
      </c>
      <c r="C68" s="15" t="s">
        <v>249</v>
      </c>
      <c r="D68" s="15" t="s">
        <v>81</v>
      </c>
      <c r="E68" s="19" t="s">
        <v>74</v>
      </c>
      <c r="F68" s="15" t="s">
        <v>1675</v>
      </c>
      <c r="G68" s="15" t="s">
        <v>1545</v>
      </c>
      <c r="H68" s="15" t="s">
        <v>1546</v>
      </c>
      <c r="I68" s="15" t="s">
        <v>1678</v>
      </c>
      <c r="J68" s="15" t="s">
        <v>1465</v>
      </c>
      <c r="K68" s="15" t="s">
        <v>1543</v>
      </c>
    </row>
    <row r="69" customFormat="false" ht="23.85" hidden="false" customHeight="false" outlineLevel="0" collapsed="false">
      <c r="A69" s="15" t="s">
        <v>37</v>
      </c>
      <c r="B69" s="15" t="s">
        <v>1679</v>
      </c>
      <c r="C69" s="15" t="s">
        <v>249</v>
      </c>
      <c r="D69" s="15" t="s">
        <v>81</v>
      </c>
      <c r="E69" s="16" t="s">
        <v>73</v>
      </c>
      <c r="F69" s="15" t="s">
        <v>1675</v>
      </c>
      <c r="G69" s="15" t="s">
        <v>1548</v>
      </c>
      <c r="H69" s="15" t="s">
        <v>1549</v>
      </c>
      <c r="I69" s="15" t="s">
        <v>1680</v>
      </c>
      <c r="J69" s="15" t="s">
        <v>1473</v>
      </c>
      <c r="K69" s="15" t="s">
        <v>1543</v>
      </c>
    </row>
    <row r="70" customFormat="false" ht="113.4" hidden="false" customHeight="false" outlineLevel="0" collapsed="false">
      <c r="A70" s="15" t="s">
        <v>37</v>
      </c>
      <c r="B70" s="15" t="s">
        <v>1681</v>
      </c>
      <c r="C70" s="15" t="s">
        <v>111</v>
      </c>
      <c r="D70" s="15" t="s">
        <v>81</v>
      </c>
      <c r="E70" s="20" t="s">
        <v>75</v>
      </c>
      <c r="F70" s="15" t="s">
        <v>1682</v>
      </c>
      <c r="G70" s="15" t="s">
        <v>1683</v>
      </c>
      <c r="H70" s="15" t="s">
        <v>1684</v>
      </c>
      <c r="I70" s="15" t="s">
        <v>1464</v>
      </c>
      <c r="J70" s="15" t="s">
        <v>1465</v>
      </c>
      <c r="K70" s="15" t="s">
        <v>1685</v>
      </c>
    </row>
    <row r="71" customFormat="false" ht="113.4" hidden="false" customHeight="false" outlineLevel="0" collapsed="false">
      <c r="A71" s="15" t="s">
        <v>37</v>
      </c>
      <c r="B71" s="15" t="s">
        <v>1686</v>
      </c>
      <c r="C71" s="15" t="s">
        <v>111</v>
      </c>
      <c r="D71" s="15" t="s">
        <v>81</v>
      </c>
      <c r="E71" s="19" t="s">
        <v>74</v>
      </c>
      <c r="F71" s="15" t="s">
        <v>1682</v>
      </c>
      <c r="G71" s="15" t="s">
        <v>1687</v>
      </c>
      <c r="H71" s="15" t="s">
        <v>1688</v>
      </c>
      <c r="I71" s="15" t="s">
        <v>1469</v>
      </c>
      <c r="J71" s="15" t="s">
        <v>1465</v>
      </c>
      <c r="K71" s="15" t="s">
        <v>1685</v>
      </c>
    </row>
    <row r="72" customFormat="false" ht="113.4" hidden="false" customHeight="false" outlineLevel="0" collapsed="false">
      <c r="A72" s="15" t="s">
        <v>37</v>
      </c>
      <c r="B72" s="15" t="s">
        <v>1689</v>
      </c>
      <c r="C72" s="15" t="s">
        <v>111</v>
      </c>
      <c r="D72" s="15" t="s">
        <v>81</v>
      </c>
      <c r="E72" s="16" t="s">
        <v>73</v>
      </c>
      <c r="F72" s="15" t="s">
        <v>1682</v>
      </c>
      <c r="G72" s="15" t="s">
        <v>1690</v>
      </c>
      <c r="H72" s="15" t="s">
        <v>1691</v>
      </c>
      <c r="I72" s="15" t="s">
        <v>1472</v>
      </c>
      <c r="J72" s="15" t="s">
        <v>1473</v>
      </c>
      <c r="K72" s="15" t="s">
        <v>1685</v>
      </c>
    </row>
    <row r="73" customFormat="false" ht="35.05" hidden="false" customHeight="false" outlineLevel="0" collapsed="false">
      <c r="A73" s="15" t="s">
        <v>37</v>
      </c>
      <c r="B73" s="15" t="s">
        <v>1692</v>
      </c>
      <c r="C73" s="15" t="s">
        <v>157</v>
      </c>
      <c r="D73" s="15" t="s">
        <v>81</v>
      </c>
      <c r="E73" s="20" t="s">
        <v>75</v>
      </c>
      <c r="F73" s="15" t="s">
        <v>1693</v>
      </c>
      <c r="G73" s="15" t="s">
        <v>1694</v>
      </c>
      <c r="H73" s="15" t="s">
        <v>857</v>
      </c>
      <c r="I73" s="15" t="s">
        <v>1695</v>
      </c>
      <c r="J73" s="15" t="s">
        <v>1465</v>
      </c>
      <c r="K73" s="15" t="s">
        <v>1696</v>
      </c>
    </row>
    <row r="74" customFormat="false" ht="23.85" hidden="false" customHeight="false" outlineLevel="0" collapsed="false">
      <c r="A74" s="15" t="s">
        <v>37</v>
      </c>
      <c r="B74" s="15" t="s">
        <v>1697</v>
      </c>
      <c r="C74" s="15" t="s">
        <v>157</v>
      </c>
      <c r="D74" s="15" t="s">
        <v>81</v>
      </c>
      <c r="E74" s="19" t="s">
        <v>74</v>
      </c>
      <c r="F74" s="15" t="s">
        <v>1693</v>
      </c>
      <c r="G74" s="15" t="s">
        <v>1698</v>
      </c>
      <c r="H74" s="15" t="s">
        <v>851</v>
      </c>
      <c r="I74" s="15" t="s">
        <v>1699</v>
      </c>
      <c r="J74" s="15" t="s">
        <v>1465</v>
      </c>
      <c r="K74" s="15" t="s">
        <v>1696</v>
      </c>
    </row>
    <row r="75" customFormat="false" ht="23.85" hidden="false" customHeight="false" outlineLevel="0" collapsed="false">
      <c r="A75" s="15" t="s">
        <v>37</v>
      </c>
      <c r="B75" s="15" t="s">
        <v>1700</v>
      </c>
      <c r="C75" s="15" t="s">
        <v>157</v>
      </c>
      <c r="D75" s="15" t="s">
        <v>81</v>
      </c>
      <c r="E75" s="16" t="s">
        <v>73</v>
      </c>
      <c r="F75" s="15" t="s">
        <v>1693</v>
      </c>
      <c r="G75" s="15" t="s">
        <v>1701</v>
      </c>
      <c r="H75" s="15" t="s">
        <v>845</v>
      </c>
      <c r="I75" s="15" t="s">
        <v>1702</v>
      </c>
      <c r="J75" s="15" t="s">
        <v>1473</v>
      </c>
      <c r="K75" s="15" t="s">
        <v>1696</v>
      </c>
    </row>
    <row r="76" customFormat="false" ht="57.45" hidden="false" customHeight="false" outlineLevel="0" collapsed="false">
      <c r="A76" s="15" t="s">
        <v>37</v>
      </c>
      <c r="B76" s="15" t="s">
        <v>1703</v>
      </c>
      <c r="C76" s="15" t="s">
        <v>98</v>
      </c>
      <c r="D76" s="15" t="s">
        <v>81</v>
      </c>
      <c r="E76" s="20" t="s">
        <v>75</v>
      </c>
      <c r="F76" s="15" t="s">
        <v>1704</v>
      </c>
      <c r="G76" s="15" t="s">
        <v>1705</v>
      </c>
      <c r="H76" s="15" t="s">
        <v>1706</v>
      </c>
      <c r="I76" s="15" t="s">
        <v>1707</v>
      </c>
      <c r="J76" s="15" t="s">
        <v>1465</v>
      </c>
      <c r="K76" s="15" t="s">
        <v>1708</v>
      </c>
    </row>
    <row r="77" customFormat="false" ht="57.45" hidden="false" customHeight="false" outlineLevel="0" collapsed="false">
      <c r="A77" s="15" t="s">
        <v>37</v>
      </c>
      <c r="B77" s="15" t="s">
        <v>1709</v>
      </c>
      <c r="C77" s="15" t="s">
        <v>98</v>
      </c>
      <c r="D77" s="15" t="s">
        <v>81</v>
      </c>
      <c r="E77" s="19" t="s">
        <v>74</v>
      </c>
      <c r="F77" s="15" t="s">
        <v>1704</v>
      </c>
      <c r="G77" s="15" t="s">
        <v>1710</v>
      </c>
      <c r="H77" s="15" t="s">
        <v>1711</v>
      </c>
      <c r="I77" s="15" t="s">
        <v>1712</v>
      </c>
      <c r="J77" s="15" t="s">
        <v>1465</v>
      </c>
      <c r="K77" s="15" t="s">
        <v>1708</v>
      </c>
    </row>
    <row r="78" customFormat="false" ht="57.45" hidden="false" customHeight="false" outlineLevel="0" collapsed="false">
      <c r="A78" s="15" t="s">
        <v>37</v>
      </c>
      <c r="B78" s="15" t="s">
        <v>1713</v>
      </c>
      <c r="C78" s="15" t="s">
        <v>98</v>
      </c>
      <c r="D78" s="15" t="s">
        <v>81</v>
      </c>
      <c r="E78" s="16" t="s">
        <v>73</v>
      </c>
      <c r="F78" s="15" t="s">
        <v>1704</v>
      </c>
      <c r="G78" s="15" t="s">
        <v>1714</v>
      </c>
      <c r="H78" s="15" t="s">
        <v>1715</v>
      </c>
      <c r="I78" s="15" t="s">
        <v>1716</v>
      </c>
      <c r="J78" s="15" t="s">
        <v>1473</v>
      </c>
      <c r="K78" s="15" t="s">
        <v>1708</v>
      </c>
    </row>
    <row r="79" customFormat="false" ht="46.25" hidden="false" customHeight="false" outlineLevel="0" collapsed="false">
      <c r="A79" s="15" t="s">
        <v>37</v>
      </c>
      <c r="B79" s="15" t="s">
        <v>1717</v>
      </c>
      <c r="C79" s="15" t="s">
        <v>150</v>
      </c>
      <c r="D79" s="15" t="s">
        <v>81</v>
      </c>
      <c r="E79" s="20" t="s">
        <v>75</v>
      </c>
      <c r="F79" s="15" t="s">
        <v>1718</v>
      </c>
      <c r="G79" s="15" t="s">
        <v>1719</v>
      </c>
      <c r="H79" s="15" t="s">
        <v>1720</v>
      </c>
      <c r="I79" s="15" t="s">
        <v>1721</v>
      </c>
      <c r="J79" s="15" t="s">
        <v>1465</v>
      </c>
      <c r="K79" s="15" t="s">
        <v>1722</v>
      </c>
    </row>
    <row r="80" customFormat="false" ht="35.05" hidden="false" customHeight="false" outlineLevel="0" collapsed="false">
      <c r="A80" s="15" t="s">
        <v>37</v>
      </c>
      <c r="B80" s="15" t="s">
        <v>1723</v>
      </c>
      <c r="C80" s="15" t="s">
        <v>150</v>
      </c>
      <c r="D80" s="15" t="s">
        <v>81</v>
      </c>
      <c r="E80" s="19" t="s">
        <v>74</v>
      </c>
      <c r="F80" s="15" t="s">
        <v>1718</v>
      </c>
      <c r="G80" s="15" t="s">
        <v>1724</v>
      </c>
      <c r="H80" s="15" t="s">
        <v>1725</v>
      </c>
      <c r="I80" s="15" t="s">
        <v>1726</v>
      </c>
      <c r="J80" s="15" t="s">
        <v>1465</v>
      </c>
      <c r="K80" s="15" t="s">
        <v>1722</v>
      </c>
    </row>
    <row r="81" customFormat="false" ht="35.05" hidden="false" customHeight="false" outlineLevel="0" collapsed="false">
      <c r="A81" s="15" t="s">
        <v>37</v>
      </c>
      <c r="B81" s="15" t="s">
        <v>1727</v>
      </c>
      <c r="C81" s="15" t="s">
        <v>150</v>
      </c>
      <c r="D81" s="15" t="s">
        <v>81</v>
      </c>
      <c r="E81" s="16" t="s">
        <v>73</v>
      </c>
      <c r="F81" s="15" t="s">
        <v>1718</v>
      </c>
      <c r="G81" s="15" t="s">
        <v>1728</v>
      </c>
      <c r="H81" s="15" t="s">
        <v>1729</v>
      </c>
      <c r="I81" s="15" t="s">
        <v>1730</v>
      </c>
      <c r="J81" s="15" t="s">
        <v>1473</v>
      </c>
      <c r="K81" s="15" t="s">
        <v>1722</v>
      </c>
    </row>
    <row r="82" customFormat="false" ht="46.25" hidden="false" customHeight="false" outlineLevel="0" collapsed="false">
      <c r="A82" s="15" t="s">
        <v>37</v>
      </c>
      <c r="B82" s="15" t="s">
        <v>1731</v>
      </c>
      <c r="C82" s="15" t="s">
        <v>256</v>
      </c>
      <c r="D82" s="15" t="s">
        <v>81</v>
      </c>
      <c r="E82" s="20" t="s">
        <v>75</v>
      </c>
      <c r="F82" s="15" t="s">
        <v>1732</v>
      </c>
      <c r="G82" s="15" t="s">
        <v>1733</v>
      </c>
      <c r="H82" s="15" t="s">
        <v>1734</v>
      </c>
      <c r="I82" s="15" t="s">
        <v>1735</v>
      </c>
      <c r="J82" s="15" t="s">
        <v>1465</v>
      </c>
      <c r="K82" s="15" t="s">
        <v>1736</v>
      </c>
    </row>
    <row r="83" customFormat="false" ht="46.25" hidden="false" customHeight="false" outlineLevel="0" collapsed="false">
      <c r="A83" s="15" t="s">
        <v>37</v>
      </c>
      <c r="B83" s="15" t="s">
        <v>1737</v>
      </c>
      <c r="C83" s="15" t="s">
        <v>256</v>
      </c>
      <c r="D83" s="15" t="s">
        <v>81</v>
      </c>
      <c r="E83" s="19" t="s">
        <v>74</v>
      </c>
      <c r="F83" s="15" t="s">
        <v>1732</v>
      </c>
      <c r="G83" s="15" t="s">
        <v>1738</v>
      </c>
      <c r="H83" s="15" t="s">
        <v>1739</v>
      </c>
      <c r="I83" s="15" t="s">
        <v>1740</v>
      </c>
      <c r="J83" s="15" t="s">
        <v>1465</v>
      </c>
      <c r="K83" s="15" t="s">
        <v>1736</v>
      </c>
    </row>
    <row r="84" customFormat="false" ht="46.25" hidden="false" customHeight="false" outlineLevel="0" collapsed="false">
      <c r="A84" s="15" t="s">
        <v>37</v>
      </c>
      <c r="B84" s="15" t="s">
        <v>1741</v>
      </c>
      <c r="C84" s="15" t="s">
        <v>256</v>
      </c>
      <c r="D84" s="15" t="s">
        <v>81</v>
      </c>
      <c r="E84" s="16" t="s">
        <v>73</v>
      </c>
      <c r="F84" s="15" t="s">
        <v>1732</v>
      </c>
      <c r="G84" s="15" t="s">
        <v>1742</v>
      </c>
      <c r="H84" s="15" t="s">
        <v>1743</v>
      </c>
      <c r="I84" s="15" t="s">
        <v>1744</v>
      </c>
      <c r="J84" s="15" t="s">
        <v>1473</v>
      </c>
      <c r="K84" s="15" t="s">
        <v>1736</v>
      </c>
    </row>
    <row r="85" customFormat="false" ht="46.25" hidden="false" customHeight="false" outlineLevel="0" collapsed="false">
      <c r="A85" s="15" t="s">
        <v>37</v>
      </c>
      <c r="B85" s="15" t="s">
        <v>1745</v>
      </c>
      <c r="C85" s="15" t="s">
        <v>263</v>
      </c>
      <c r="D85" s="15" t="s">
        <v>81</v>
      </c>
      <c r="E85" s="20" t="s">
        <v>75</v>
      </c>
      <c r="F85" s="15" t="s">
        <v>1746</v>
      </c>
      <c r="G85" s="15" t="s">
        <v>1747</v>
      </c>
      <c r="H85" s="15" t="s">
        <v>1748</v>
      </c>
      <c r="I85" s="15" t="s">
        <v>1749</v>
      </c>
      <c r="J85" s="15" t="s">
        <v>1465</v>
      </c>
      <c r="K85" s="15" t="s">
        <v>1750</v>
      </c>
    </row>
    <row r="86" customFormat="false" ht="46.25" hidden="false" customHeight="false" outlineLevel="0" collapsed="false">
      <c r="A86" s="15" t="s">
        <v>37</v>
      </c>
      <c r="B86" s="15" t="s">
        <v>1751</v>
      </c>
      <c r="C86" s="15" t="s">
        <v>263</v>
      </c>
      <c r="D86" s="15" t="s">
        <v>81</v>
      </c>
      <c r="E86" s="19" t="s">
        <v>74</v>
      </c>
      <c r="F86" s="15" t="s">
        <v>1746</v>
      </c>
      <c r="G86" s="15" t="s">
        <v>1752</v>
      </c>
      <c r="H86" s="15" t="s">
        <v>1753</v>
      </c>
      <c r="I86" s="15" t="s">
        <v>1754</v>
      </c>
      <c r="J86" s="15" t="s">
        <v>1465</v>
      </c>
      <c r="K86" s="15" t="s">
        <v>1750</v>
      </c>
    </row>
    <row r="87" customFormat="false" ht="46.25" hidden="false" customHeight="false" outlineLevel="0" collapsed="false">
      <c r="A87" s="15" t="s">
        <v>37</v>
      </c>
      <c r="B87" s="15" t="s">
        <v>1755</v>
      </c>
      <c r="C87" s="15" t="s">
        <v>263</v>
      </c>
      <c r="D87" s="15" t="s">
        <v>81</v>
      </c>
      <c r="E87" s="16" t="s">
        <v>73</v>
      </c>
      <c r="F87" s="15" t="s">
        <v>1746</v>
      </c>
      <c r="G87" s="15" t="s">
        <v>1756</v>
      </c>
      <c r="H87" s="15" t="s">
        <v>1757</v>
      </c>
      <c r="I87" s="15" t="s">
        <v>1758</v>
      </c>
      <c r="J87" s="15" t="s">
        <v>1473</v>
      </c>
      <c r="K87" s="15" t="s">
        <v>1750</v>
      </c>
    </row>
    <row r="88" customFormat="false" ht="91" hidden="false" customHeight="false" outlineLevel="0" collapsed="false">
      <c r="A88" s="15" t="s">
        <v>37</v>
      </c>
      <c r="B88" s="15" t="s">
        <v>1759</v>
      </c>
      <c r="C88" s="15" t="s">
        <v>1760</v>
      </c>
      <c r="D88" s="15" t="s">
        <v>81</v>
      </c>
      <c r="E88" s="20" t="s">
        <v>75</v>
      </c>
      <c r="F88" s="15" t="s">
        <v>1761</v>
      </c>
      <c r="G88" s="15" t="s">
        <v>1762</v>
      </c>
      <c r="H88" s="15" t="s">
        <v>1763</v>
      </c>
      <c r="I88" s="15" t="s">
        <v>1764</v>
      </c>
      <c r="J88" s="15" t="s">
        <v>1465</v>
      </c>
      <c r="K88" s="15" t="s">
        <v>1765</v>
      </c>
    </row>
    <row r="89" customFormat="false" ht="91" hidden="false" customHeight="false" outlineLevel="0" collapsed="false">
      <c r="A89" s="15" t="s">
        <v>37</v>
      </c>
      <c r="B89" s="15" t="s">
        <v>1766</v>
      </c>
      <c r="C89" s="15" t="s">
        <v>1760</v>
      </c>
      <c r="D89" s="15" t="s">
        <v>81</v>
      </c>
      <c r="E89" s="19" t="s">
        <v>74</v>
      </c>
      <c r="F89" s="15" t="s">
        <v>1761</v>
      </c>
      <c r="G89" s="15" t="s">
        <v>1767</v>
      </c>
      <c r="H89" s="15" t="s">
        <v>1768</v>
      </c>
      <c r="I89" s="15" t="s">
        <v>1769</v>
      </c>
      <c r="J89" s="15" t="s">
        <v>1465</v>
      </c>
      <c r="K89" s="15" t="s">
        <v>1765</v>
      </c>
    </row>
    <row r="90" customFormat="false" ht="91" hidden="false" customHeight="false" outlineLevel="0" collapsed="false">
      <c r="A90" s="15" t="s">
        <v>37</v>
      </c>
      <c r="B90" s="15" t="s">
        <v>1770</v>
      </c>
      <c r="C90" s="15" t="s">
        <v>1760</v>
      </c>
      <c r="D90" s="15" t="s">
        <v>81</v>
      </c>
      <c r="E90" s="16" t="s">
        <v>73</v>
      </c>
      <c r="F90" s="15" t="s">
        <v>1761</v>
      </c>
      <c r="G90" s="15" t="s">
        <v>1771</v>
      </c>
      <c r="H90" s="15" t="s">
        <v>1772</v>
      </c>
      <c r="I90" s="15" t="s">
        <v>1773</v>
      </c>
      <c r="J90" s="15" t="s">
        <v>1473</v>
      </c>
      <c r="K90" s="15" t="s">
        <v>1765</v>
      </c>
    </row>
    <row r="91" customFormat="false" ht="46.25" hidden="false" customHeight="false" outlineLevel="0" collapsed="false">
      <c r="A91" s="15" t="s">
        <v>37</v>
      </c>
      <c r="B91" s="15" t="s">
        <v>1774</v>
      </c>
      <c r="C91" s="15" t="s">
        <v>127</v>
      </c>
      <c r="D91" s="15" t="s">
        <v>81</v>
      </c>
      <c r="E91" s="20" t="s">
        <v>75</v>
      </c>
      <c r="F91" s="15" t="s">
        <v>1775</v>
      </c>
      <c r="G91" s="15" t="s">
        <v>1776</v>
      </c>
      <c r="H91" s="15" t="s">
        <v>1777</v>
      </c>
      <c r="I91" s="15" t="s">
        <v>1778</v>
      </c>
      <c r="J91" s="15" t="s">
        <v>1465</v>
      </c>
      <c r="K91" s="15" t="s">
        <v>1779</v>
      </c>
    </row>
    <row r="92" customFormat="false" ht="46.25" hidden="false" customHeight="false" outlineLevel="0" collapsed="false">
      <c r="A92" s="15" t="s">
        <v>37</v>
      </c>
      <c r="B92" s="15" t="s">
        <v>1780</v>
      </c>
      <c r="C92" s="15" t="s">
        <v>127</v>
      </c>
      <c r="D92" s="15" t="s">
        <v>81</v>
      </c>
      <c r="E92" s="19" t="s">
        <v>74</v>
      </c>
      <c r="F92" s="15" t="s">
        <v>1775</v>
      </c>
      <c r="G92" s="15" t="s">
        <v>1781</v>
      </c>
      <c r="H92" s="15" t="s">
        <v>1782</v>
      </c>
      <c r="I92" s="15" t="s">
        <v>1783</v>
      </c>
      <c r="J92" s="15" t="s">
        <v>1465</v>
      </c>
      <c r="K92" s="15" t="s">
        <v>1779</v>
      </c>
    </row>
    <row r="93" customFormat="false" ht="46.25" hidden="false" customHeight="false" outlineLevel="0" collapsed="false">
      <c r="A93" s="15" t="s">
        <v>37</v>
      </c>
      <c r="B93" s="15" t="s">
        <v>1784</v>
      </c>
      <c r="C93" s="15" t="s">
        <v>127</v>
      </c>
      <c r="D93" s="15" t="s">
        <v>81</v>
      </c>
      <c r="E93" s="16" t="s">
        <v>73</v>
      </c>
      <c r="F93" s="15" t="s">
        <v>1775</v>
      </c>
      <c r="G93" s="15" t="s">
        <v>1785</v>
      </c>
      <c r="H93" s="15" t="s">
        <v>1786</v>
      </c>
      <c r="I93" s="15" t="s">
        <v>1787</v>
      </c>
      <c r="J93" s="15" t="s">
        <v>1473</v>
      </c>
      <c r="K93" s="15" t="s">
        <v>1779</v>
      </c>
    </row>
    <row r="94" customFormat="false" ht="35.05" hidden="false" customHeight="false" outlineLevel="0" collapsed="false">
      <c r="A94" s="15" t="s">
        <v>37</v>
      </c>
      <c r="B94" s="15" t="s">
        <v>1788</v>
      </c>
      <c r="C94" s="15" t="s">
        <v>272</v>
      </c>
      <c r="D94" s="15" t="s">
        <v>81</v>
      </c>
      <c r="E94" s="20" t="s">
        <v>75</v>
      </c>
      <c r="F94" s="15" t="s">
        <v>1789</v>
      </c>
      <c r="G94" s="15" t="s">
        <v>1790</v>
      </c>
      <c r="H94" s="15" t="s">
        <v>1791</v>
      </c>
      <c r="I94" s="15" t="s">
        <v>1792</v>
      </c>
      <c r="J94" s="15" t="s">
        <v>1465</v>
      </c>
      <c r="K94" s="15" t="s">
        <v>1793</v>
      </c>
    </row>
    <row r="95" customFormat="false" ht="35.05" hidden="false" customHeight="false" outlineLevel="0" collapsed="false">
      <c r="A95" s="15" t="s">
        <v>37</v>
      </c>
      <c r="B95" s="15" t="s">
        <v>1794</v>
      </c>
      <c r="C95" s="15" t="s">
        <v>272</v>
      </c>
      <c r="D95" s="15" t="s">
        <v>81</v>
      </c>
      <c r="E95" s="19" t="s">
        <v>74</v>
      </c>
      <c r="F95" s="15" t="s">
        <v>1789</v>
      </c>
      <c r="G95" s="15" t="s">
        <v>1795</v>
      </c>
      <c r="H95" s="15" t="s">
        <v>1796</v>
      </c>
      <c r="I95" s="15" t="s">
        <v>1797</v>
      </c>
      <c r="J95" s="15" t="s">
        <v>1465</v>
      </c>
      <c r="K95" s="15" t="s">
        <v>1793</v>
      </c>
    </row>
    <row r="96" customFormat="false" ht="35.05" hidden="false" customHeight="false" outlineLevel="0" collapsed="false">
      <c r="A96" s="15" t="s">
        <v>37</v>
      </c>
      <c r="B96" s="15" t="s">
        <v>1798</v>
      </c>
      <c r="C96" s="15" t="s">
        <v>272</v>
      </c>
      <c r="D96" s="15" t="s">
        <v>81</v>
      </c>
      <c r="E96" s="16" t="s">
        <v>73</v>
      </c>
      <c r="F96" s="15" t="s">
        <v>1789</v>
      </c>
      <c r="G96" s="15" t="s">
        <v>1799</v>
      </c>
      <c r="H96" s="15" t="s">
        <v>1800</v>
      </c>
      <c r="I96" s="15" t="s">
        <v>1801</v>
      </c>
      <c r="J96" s="15" t="s">
        <v>1473</v>
      </c>
      <c r="K96" s="15" t="s">
        <v>1793</v>
      </c>
    </row>
    <row r="97" customFormat="false" ht="46.25" hidden="false" customHeight="false" outlineLevel="0" collapsed="false">
      <c r="A97" s="15" t="s">
        <v>37</v>
      </c>
      <c r="B97" s="15" t="s">
        <v>1802</v>
      </c>
      <c r="C97" s="15" t="s">
        <v>137</v>
      </c>
      <c r="D97" s="15" t="s">
        <v>81</v>
      </c>
      <c r="E97" s="20" t="s">
        <v>75</v>
      </c>
      <c r="F97" s="15" t="s">
        <v>1803</v>
      </c>
      <c r="G97" s="15" t="s">
        <v>1804</v>
      </c>
      <c r="H97" s="15" t="s">
        <v>1805</v>
      </c>
      <c r="I97" s="15" t="s">
        <v>1806</v>
      </c>
      <c r="J97" s="15" t="s">
        <v>1465</v>
      </c>
      <c r="K97" s="15" t="s">
        <v>1807</v>
      </c>
    </row>
    <row r="98" customFormat="false" ht="35.05" hidden="false" customHeight="false" outlineLevel="0" collapsed="false">
      <c r="A98" s="15" t="s">
        <v>37</v>
      </c>
      <c r="B98" s="15" t="s">
        <v>1808</v>
      </c>
      <c r="C98" s="15" t="s">
        <v>137</v>
      </c>
      <c r="D98" s="15" t="s">
        <v>81</v>
      </c>
      <c r="E98" s="19" t="s">
        <v>74</v>
      </c>
      <c r="F98" s="15" t="s">
        <v>1803</v>
      </c>
      <c r="G98" s="15" t="s">
        <v>1809</v>
      </c>
      <c r="H98" s="15" t="s">
        <v>1810</v>
      </c>
      <c r="I98" s="15" t="s">
        <v>1811</v>
      </c>
      <c r="J98" s="15" t="s">
        <v>1465</v>
      </c>
      <c r="K98" s="15" t="s">
        <v>1807</v>
      </c>
    </row>
    <row r="99" customFormat="false" ht="23.85" hidden="false" customHeight="false" outlineLevel="0" collapsed="false">
      <c r="A99" s="15" t="s">
        <v>37</v>
      </c>
      <c r="B99" s="15" t="s">
        <v>1812</v>
      </c>
      <c r="C99" s="15" t="s">
        <v>137</v>
      </c>
      <c r="D99" s="15" t="s">
        <v>81</v>
      </c>
      <c r="E99" s="16" t="s">
        <v>73</v>
      </c>
      <c r="F99" s="15" t="s">
        <v>1803</v>
      </c>
      <c r="G99" s="15" t="s">
        <v>1813</v>
      </c>
      <c r="H99" s="15" t="s">
        <v>1814</v>
      </c>
      <c r="I99" s="15" t="s">
        <v>1815</v>
      </c>
      <c r="J99" s="15" t="s">
        <v>1473</v>
      </c>
      <c r="K99" s="15" t="s">
        <v>1807</v>
      </c>
    </row>
    <row r="100" customFormat="false" ht="46.25" hidden="false" customHeight="false" outlineLevel="0" collapsed="false">
      <c r="A100" s="15" t="s">
        <v>37</v>
      </c>
      <c r="B100" s="15" t="s">
        <v>1816</v>
      </c>
      <c r="C100" s="15" t="s">
        <v>164</v>
      </c>
      <c r="D100" s="15" t="s">
        <v>81</v>
      </c>
      <c r="E100" s="20" t="s">
        <v>75</v>
      </c>
      <c r="F100" s="15" t="s">
        <v>1817</v>
      </c>
      <c r="G100" s="15" t="s">
        <v>1818</v>
      </c>
      <c r="H100" s="15" t="s">
        <v>1819</v>
      </c>
      <c r="I100" s="15" t="s">
        <v>1820</v>
      </c>
      <c r="J100" s="15" t="s">
        <v>1465</v>
      </c>
      <c r="K100" s="15" t="s">
        <v>1821</v>
      </c>
    </row>
    <row r="101" customFormat="false" ht="46.25" hidden="false" customHeight="false" outlineLevel="0" collapsed="false">
      <c r="A101" s="15" t="s">
        <v>37</v>
      </c>
      <c r="B101" s="15" t="s">
        <v>1822</v>
      </c>
      <c r="C101" s="15" t="s">
        <v>164</v>
      </c>
      <c r="D101" s="15" t="s">
        <v>81</v>
      </c>
      <c r="E101" s="19" t="s">
        <v>74</v>
      </c>
      <c r="F101" s="15" t="s">
        <v>1817</v>
      </c>
      <c r="G101" s="15" t="s">
        <v>1823</v>
      </c>
      <c r="H101" s="15" t="s">
        <v>1824</v>
      </c>
      <c r="I101" s="15" t="s">
        <v>1825</v>
      </c>
      <c r="J101" s="15" t="s">
        <v>1465</v>
      </c>
      <c r="K101" s="15" t="s">
        <v>1821</v>
      </c>
    </row>
    <row r="102" customFormat="false" ht="46.25" hidden="false" customHeight="false" outlineLevel="0" collapsed="false">
      <c r="A102" s="15" t="s">
        <v>37</v>
      </c>
      <c r="B102" s="15" t="s">
        <v>1826</v>
      </c>
      <c r="C102" s="15" t="s">
        <v>164</v>
      </c>
      <c r="D102" s="15" t="s">
        <v>81</v>
      </c>
      <c r="E102" s="16" t="s">
        <v>73</v>
      </c>
      <c r="F102" s="15" t="s">
        <v>1817</v>
      </c>
      <c r="G102" s="15" t="s">
        <v>1827</v>
      </c>
      <c r="H102" s="15" t="s">
        <v>1828</v>
      </c>
      <c r="I102" s="15" t="s">
        <v>1829</v>
      </c>
      <c r="J102" s="15" t="s">
        <v>1473</v>
      </c>
      <c r="K102" s="15" t="s">
        <v>1821</v>
      </c>
    </row>
    <row r="103" customFormat="false" ht="35.05" hidden="false" customHeight="false" outlineLevel="0" collapsed="false">
      <c r="A103" s="15" t="s">
        <v>37</v>
      </c>
      <c r="B103" s="15" t="s">
        <v>1830</v>
      </c>
      <c r="C103" s="15" t="s">
        <v>175</v>
      </c>
      <c r="D103" s="15" t="s">
        <v>81</v>
      </c>
      <c r="E103" s="20" t="s">
        <v>75</v>
      </c>
      <c r="F103" s="15" t="s">
        <v>1831</v>
      </c>
      <c r="G103" s="15" t="s">
        <v>1832</v>
      </c>
      <c r="H103" s="15" t="s">
        <v>1833</v>
      </c>
      <c r="I103" s="15" t="s">
        <v>1834</v>
      </c>
      <c r="J103" s="15" t="s">
        <v>1465</v>
      </c>
      <c r="K103" s="15" t="s">
        <v>1835</v>
      </c>
    </row>
    <row r="104" customFormat="false" ht="35.05" hidden="false" customHeight="false" outlineLevel="0" collapsed="false">
      <c r="A104" s="15" t="s">
        <v>37</v>
      </c>
      <c r="B104" s="15" t="s">
        <v>1836</v>
      </c>
      <c r="C104" s="15" t="s">
        <v>175</v>
      </c>
      <c r="D104" s="15" t="s">
        <v>81</v>
      </c>
      <c r="E104" s="19" t="s">
        <v>74</v>
      </c>
      <c r="F104" s="15" t="s">
        <v>1831</v>
      </c>
      <c r="G104" s="15" t="s">
        <v>1837</v>
      </c>
      <c r="H104" s="15" t="s">
        <v>1838</v>
      </c>
      <c r="I104" s="15" t="s">
        <v>1839</v>
      </c>
      <c r="J104" s="15" t="s">
        <v>1465</v>
      </c>
      <c r="K104" s="15" t="s">
        <v>1835</v>
      </c>
    </row>
    <row r="105" customFormat="false" ht="35.05" hidden="false" customHeight="false" outlineLevel="0" collapsed="false">
      <c r="A105" s="15" t="s">
        <v>37</v>
      </c>
      <c r="B105" s="15" t="s">
        <v>1840</v>
      </c>
      <c r="C105" s="15" t="s">
        <v>175</v>
      </c>
      <c r="D105" s="15" t="s">
        <v>81</v>
      </c>
      <c r="E105" s="16" t="s">
        <v>73</v>
      </c>
      <c r="F105" s="15" t="s">
        <v>1831</v>
      </c>
      <c r="G105" s="15" t="s">
        <v>1841</v>
      </c>
      <c r="H105" s="15" t="s">
        <v>1842</v>
      </c>
      <c r="I105" s="15" t="s">
        <v>1843</v>
      </c>
      <c r="J105" s="15" t="s">
        <v>1473</v>
      </c>
      <c r="K105" s="15" t="s">
        <v>1835</v>
      </c>
    </row>
    <row r="106" customFormat="false" ht="35.05" hidden="false" customHeight="false" outlineLevel="0" collapsed="false">
      <c r="A106" s="15" t="s">
        <v>37</v>
      </c>
      <c r="B106" s="15" t="s">
        <v>1844</v>
      </c>
      <c r="C106" s="15" t="s">
        <v>1845</v>
      </c>
      <c r="D106" s="15" t="s">
        <v>1846</v>
      </c>
      <c r="E106" s="20" t="s">
        <v>75</v>
      </c>
      <c r="F106" s="15" t="s">
        <v>1847</v>
      </c>
      <c r="G106" s="15" t="s">
        <v>1515</v>
      </c>
      <c r="H106" s="15" t="s">
        <v>422</v>
      </c>
      <c r="I106" s="15" t="s">
        <v>1848</v>
      </c>
      <c r="J106" s="15" t="s">
        <v>1465</v>
      </c>
      <c r="K106" s="15" t="s">
        <v>1516</v>
      </c>
    </row>
    <row r="107" customFormat="false" ht="35.05" hidden="false" customHeight="false" outlineLevel="0" collapsed="false">
      <c r="A107" s="15" t="s">
        <v>37</v>
      </c>
      <c r="B107" s="15" t="s">
        <v>1849</v>
      </c>
      <c r="C107" s="15" t="s">
        <v>1845</v>
      </c>
      <c r="D107" s="15" t="s">
        <v>1846</v>
      </c>
      <c r="E107" s="19" t="s">
        <v>74</v>
      </c>
      <c r="F107" s="15" t="s">
        <v>1847</v>
      </c>
      <c r="G107" s="15" t="s">
        <v>1518</v>
      </c>
      <c r="H107" s="15" t="s">
        <v>420</v>
      </c>
      <c r="I107" s="15" t="s">
        <v>1850</v>
      </c>
      <c r="J107" s="15" t="s">
        <v>1465</v>
      </c>
      <c r="K107" s="15" t="s">
        <v>1516</v>
      </c>
    </row>
    <row r="108" customFormat="false" ht="23.85" hidden="false" customHeight="false" outlineLevel="0" collapsed="false">
      <c r="A108" s="15" t="s">
        <v>37</v>
      </c>
      <c r="B108" s="15" t="s">
        <v>1851</v>
      </c>
      <c r="C108" s="15" t="s">
        <v>1845</v>
      </c>
      <c r="D108" s="15" t="s">
        <v>1846</v>
      </c>
      <c r="E108" s="16" t="s">
        <v>73</v>
      </c>
      <c r="F108" s="15" t="s">
        <v>1847</v>
      </c>
      <c r="G108" s="15" t="s">
        <v>1520</v>
      </c>
      <c r="H108" s="15" t="s">
        <v>413</v>
      </c>
      <c r="I108" s="15" t="s">
        <v>1852</v>
      </c>
      <c r="J108" s="15" t="s">
        <v>1473</v>
      </c>
      <c r="K108" s="15" t="s">
        <v>1516</v>
      </c>
    </row>
    <row r="109" customFormat="false" ht="46.25" hidden="false" customHeight="false" outlineLevel="0" collapsed="false">
      <c r="A109" s="15" t="s">
        <v>37</v>
      </c>
      <c r="B109" s="15" t="s">
        <v>1853</v>
      </c>
      <c r="C109" s="15" t="s">
        <v>184</v>
      </c>
      <c r="D109" s="15" t="s">
        <v>1451</v>
      </c>
      <c r="E109" s="20" t="s">
        <v>75</v>
      </c>
      <c r="F109" s="15" t="s">
        <v>1854</v>
      </c>
      <c r="G109" s="15" t="s">
        <v>1619</v>
      </c>
      <c r="H109" s="15" t="s">
        <v>1013</v>
      </c>
      <c r="I109" s="15" t="s">
        <v>1855</v>
      </c>
      <c r="J109" s="15" t="s">
        <v>1465</v>
      </c>
      <c r="K109" s="15" t="s">
        <v>1620</v>
      </c>
    </row>
    <row r="110" customFormat="false" ht="35.05" hidden="false" customHeight="false" outlineLevel="0" collapsed="false">
      <c r="A110" s="15" t="s">
        <v>37</v>
      </c>
      <c r="B110" s="15" t="s">
        <v>1856</v>
      </c>
      <c r="C110" s="15" t="s">
        <v>184</v>
      </c>
      <c r="D110" s="15" t="s">
        <v>1451</v>
      </c>
      <c r="E110" s="19" t="s">
        <v>74</v>
      </c>
      <c r="F110" s="15" t="s">
        <v>1854</v>
      </c>
      <c r="G110" s="15" t="s">
        <v>1622</v>
      </c>
      <c r="H110" s="15" t="s">
        <v>1008</v>
      </c>
      <c r="I110" s="15" t="s">
        <v>1857</v>
      </c>
      <c r="J110" s="15" t="s">
        <v>1465</v>
      </c>
      <c r="K110" s="15" t="s">
        <v>1620</v>
      </c>
    </row>
    <row r="111" customFormat="false" ht="23.85" hidden="false" customHeight="false" outlineLevel="0" collapsed="false">
      <c r="A111" s="15" t="s">
        <v>37</v>
      </c>
      <c r="B111" s="15" t="s">
        <v>1858</v>
      </c>
      <c r="C111" s="15" t="s">
        <v>184</v>
      </c>
      <c r="D111" s="15" t="s">
        <v>1451</v>
      </c>
      <c r="E111" s="16" t="s">
        <v>73</v>
      </c>
      <c r="F111" s="15" t="s">
        <v>1854</v>
      </c>
      <c r="G111" s="15" t="s">
        <v>1624</v>
      </c>
      <c r="H111" s="15" t="s">
        <v>1003</v>
      </c>
      <c r="I111" s="15" t="s">
        <v>1859</v>
      </c>
      <c r="J111" s="15" t="s">
        <v>1473</v>
      </c>
      <c r="K111" s="15" t="s">
        <v>1620</v>
      </c>
    </row>
    <row r="112" customFormat="false" ht="35.05" hidden="false" customHeight="false" outlineLevel="0" collapsed="false">
      <c r="A112" s="15" t="s">
        <v>41</v>
      </c>
      <c r="B112" s="15" t="s">
        <v>1860</v>
      </c>
      <c r="C112" s="15" t="s">
        <v>1861</v>
      </c>
      <c r="D112" s="15" t="s">
        <v>1461</v>
      </c>
      <c r="E112" s="20" t="s">
        <v>75</v>
      </c>
      <c r="F112" s="15" t="s">
        <v>1862</v>
      </c>
      <c r="G112" s="15" t="s">
        <v>1863</v>
      </c>
      <c r="H112" s="15" t="s">
        <v>1864</v>
      </c>
      <c r="I112" s="15" t="s">
        <v>1865</v>
      </c>
      <c r="J112" s="15" t="s">
        <v>1465</v>
      </c>
      <c r="K112" s="15" t="s">
        <v>1866</v>
      </c>
    </row>
    <row r="113" customFormat="false" ht="35.05" hidden="false" customHeight="false" outlineLevel="0" collapsed="false">
      <c r="A113" s="15" t="s">
        <v>41</v>
      </c>
      <c r="B113" s="15" t="s">
        <v>1867</v>
      </c>
      <c r="C113" s="15" t="s">
        <v>1861</v>
      </c>
      <c r="D113" s="15" t="s">
        <v>1461</v>
      </c>
      <c r="E113" s="19" t="s">
        <v>74</v>
      </c>
      <c r="F113" s="15" t="s">
        <v>1862</v>
      </c>
      <c r="G113" s="15" t="s">
        <v>1868</v>
      </c>
      <c r="H113" s="15" t="s">
        <v>1869</v>
      </c>
      <c r="I113" s="15" t="s">
        <v>1870</v>
      </c>
      <c r="J113" s="15" t="s">
        <v>1465</v>
      </c>
      <c r="K113" s="15" t="s">
        <v>1866</v>
      </c>
    </row>
    <row r="114" customFormat="false" ht="35.05" hidden="false" customHeight="false" outlineLevel="0" collapsed="false">
      <c r="A114" s="15" t="s">
        <v>41</v>
      </c>
      <c r="B114" s="15" t="s">
        <v>1871</v>
      </c>
      <c r="C114" s="15" t="s">
        <v>1861</v>
      </c>
      <c r="D114" s="15" t="s">
        <v>1461</v>
      </c>
      <c r="E114" s="16" t="s">
        <v>73</v>
      </c>
      <c r="F114" s="15" t="s">
        <v>1862</v>
      </c>
      <c r="G114" s="15" t="s">
        <v>1872</v>
      </c>
      <c r="H114" s="15" t="s">
        <v>1873</v>
      </c>
      <c r="I114" s="15" t="s">
        <v>1874</v>
      </c>
      <c r="J114" s="15" t="s">
        <v>1473</v>
      </c>
      <c r="K114" s="15" t="s">
        <v>1866</v>
      </c>
    </row>
    <row r="115" customFormat="false" ht="35.05" hidden="false" customHeight="false" outlineLevel="0" collapsed="false">
      <c r="A115" s="15" t="s">
        <v>41</v>
      </c>
      <c r="B115" s="15" t="s">
        <v>1875</v>
      </c>
      <c r="C115" s="15" t="s">
        <v>1876</v>
      </c>
      <c r="D115" s="15" t="s">
        <v>1461</v>
      </c>
      <c r="E115" s="20" t="s">
        <v>75</v>
      </c>
      <c r="F115" s="15" t="s">
        <v>1877</v>
      </c>
      <c r="G115" s="15" t="s">
        <v>1863</v>
      </c>
      <c r="H115" s="15" t="s">
        <v>1864</v>
      </c>
      <c r="I115" s="15" t="s">
        <v>1865</v>
      </c>
      <c r="J115" s="15" t="s">
        <v>1465</v>
      </c>
      <c r="K115" s="15" t="s">
        <v>1866</v>
      </c>
    </row>
    <row r="116" customFormat="false" ht="35.05" hidden="false" customHeight="false" outlineLevel="0" collapsed="false">
      <c r="A116" s="15" t="s">
        <v>41</v>
      </c>
      <c r="B116" s="15" t="s">
        <v>1878</v>
      </c>
      <c r="C116" s="15" t="s">
        <v>1876</v>
      </c>
      <c r="D116" s="15" t="s">
        <v>1461</v>
      </c>
      <c r="E116" s="19" t="s">
        <v>74</v>
      </c>
      <c r="F116" s="15" t="s">
        <v>1877</v>
      </c>
      <c r="G116" s="15" t="s">
        <v>1868</v>
      </c>
      <c r="H116" s="15" t="s">
        <v>1869</v>
      </c>
      <c r="I116" s="15" t="s">
        <v>1870</v>
      </c>
      <c r="J116" s="15" t="s">
        <v>1465</v>
      </c>
      <c r="K116" s="15" t="s">
        <v>1866</v>
      </c>
    </row>
    <row r="117" customFormat="false" ht="35.05" hidden="false" customHeight="false" outlineLevel="0" collapsed="false">
      <c r="A117" s="15" t="s">
        <v>41</v>
      </c>
      <c r="B117" s="15" t="s">
        <v>1879</v>
      </c>
      <c r="C117" s="15" t="s">
        <v>1876</v>
      </c>
      <c r="D117" s="15" t="s">
        <v>1461</v>
      </c>
      <c r="E117" s="16" t="s">
        <v>73</v>
      </c>
      <c r="F117" s="15" t="s">
        <v>1877</v>
      </c>
      <c r="G117" s="15" t="s">
        <v>1872</v>
      </c>
      <c r="H117" s="15" t="s">
        <v>1873</v>
      </c>
      <c r="I117" s="15" t="s">
        <v>1874</v>
      </c>
      <c r="J117" s="15" t="s">
        <v>1473</v>
      </c>
      <c r="K117" s="15" t="s">
        <v>1866</v>
      </c>
    </row>
    <row r="118" customFormat="false" ht="57.45" hidden="false" customHeight="false" outlineLevel="0" collapsed="false">
      <c r="A118" s="15" t="s">
        <v>41</v>
      </c>
      <c r="B118" s="15" t="s">
        <v>1880</v>
      </c>
      <c r="C118" s="15" t="s">
        <v>287</v>
      </c>
      <c r="D118" s="15" t="s">
        <v>81</v>
      </c>
      <c r="E118" s="20" t="s">
        <v>75</v>
      </c>
      <c r="F118" s="15" t="s">
        <v>1881</v>
      </c>
      <c r="G118" s="15" t="s">
        <v>1882</v>
      </c>
      <c r="H118" s="15" t="s">
        <v>1883</v>
      </c>
      <c r="I118" s="15" t="s">
        <v>1865</v>
      </c>
      <c r="J118" s="15" t="s">
        <v>1465</v>
      </c>
      <c r="K118" s="15" t="s">
        <v>1884</v>
      </c>
    </row>
    <row r="119" customFormat="false" ht="57.45" hidden="false" customHeight="false" outlineLevel="0" collapsed="false">
      <c r="A119" s="15" t="s">
        <v>41</v>
      </c>
      <c r="B119" s="15" t="s">
        <v>1885</v>
      </c>
      <c r="C119" s="15" t="s">
        <v>287</v>
      </c>
      <c r="D119" s="15" t="s">
        <v>81</v>
      </c>
      <c r="E119" s="19" t="s">
        <v>74</v>
      </c>
      <c r="F119" s="15" t="s">
        <v>1881</v>
      </c>
      <c r="G119" s="15" t="s">
        <v>1886</v>
      </c>
      <c r="H119" s="15" t="s">
        <v>1887</v>
      </c>
      <c r="I119" s="15" t="s">
        <v>1870</v>
      </c>
      <c r="J119" s="15" t="s">
        <v>1465</v>
      </c>
      <c r="K119" s="15" t="s">
        <v>1884</v>
      </c>
    </row>
    <row r="120" customFormat="false" ht="57.45" hidden="false" customHeight="false" outlineLevel="0" collapsed="false">
      <c r="A120" s="15" t="s">
        <v>41</v>
      </c>
      <c r="B120" s="15" t="s">
        <v>1888</v>
      </c>
      <c r="C120" s="15" t="s">
        <v>287</v>
      </c>
      <c r="D120" s="15" t="s">
        <v>81</v>
      </c>
      <c r="E120" s="16" t="s">
        <v>73</v>
      </c>
      <c r="F120" s="15" t="s">
        <v>1881</v>
      </c>
      <c r="G120" s="15" t="s">
        <v>1889</v>
      </c>
      <c r="H120" s="15" t="s">
        <v>1890</v>
      </c>
      <c r="I120" s="15" t="s">
        <v>1874</v>
      </c>
      <c r="J120" s="15" t="s">
        <v>1473</v>
      </c>
      <c r="K120" s="15" t="s">
        <v>1884</v>
      </c>
    </row>
    <row r="121" customFormat="false" ht="23.85" hidden="false" customHeight="false" outlineLevel="0" collapsed="false">
      <c r="A121" s="15" t="s">
        <v>41</v>
      </c>
      <c r="B121" s="15" t="s">
        <v>1891</v>
      </c>
      <c r="C121" s="15" t="s">
        <v>1055</v>
      </c>
      <c r="D121" s="15" t="s">
        <v>81</v>
      </c>
      <c r="E121" s="20" t="s">
        <v>75</v>
      </c>
      <c r="F121" s="15" t="s">
        <v>1892</v>
      </c>
      <c r="G121" s="15" t="s">
        <v>1893</v>
      </c>
      <c r="H121" s="15" t="s">
        <v>1075</v>
      </c>
      <c r="I121" s="15" t="s">
        <v>1865</v>
      </c>
      <c r="J121" s="15" t="s">
        <v>1465</v>
      </c>
      <c r="K121" s="15" t="s">
        <v>1894</v>
      </c>
    </row>
    <row r="122" customFormat="false" ht="23.85" hidden="false" customHeight="false" outlineLevel="0" collapsed="false">
      <c r="A122" s="15" t="s">
        <v>41</v>
      </c>
      <c r="B122" s="15" t="s">
        <v>1895</v>
      </c>
      <c r="C122" s="15" t="s">
        <v>1055</v>
      </c>
      <c r="D122" s="15" t="s">
        <v>81</v>
      </c>
      <c r="E122" s="19" t="s">
        <v>74</v>
      </c>
      <c r="F122" s="15" t="s">
        <v>1892</v>
      </c>
      <c r="G122" s="15" t="s">
        <v>1896</v>
      </c>
      <c r="H122" s="15" t="s">
        <v>1068</v>
      </c>
      <c r="I122" s="15" t="s">
        <v>1870</v>
      </c>
      <c r="J122" s="15" t="s">
        <v>1465</v>
      </c>
      <c r="K122" s="15" t="s">
        <v>1894</v>
      </c>
    </row>
    <row r="123" customFormat="false" ht="23.85" hidden="false" customHeight="false" outlineLevel="0" collapsed="false">
      <c r="A123" s="15" t="s">
        <v>41</v>
      </c>
      <c r="B123" s="15" t="s">
        <v>1897</v>
      </c>
      <c r="C123" s="15" t="s">
        <v>1055</v>
      </c>
      <c r="D123" s="15" t="s">
        <v>81</v>
      </c>
      <c r="E123" s="16" t="s">
        <v>73</v>
      </c>
      <c r="F123" s="15" t="s">
        <v>1892</v>
      </c>
      <c r="G123" s="15" t="s">
        <v>1898</v>
      </c>
      <c r="H123" s="15" t="s">
        <v>1061</v>
      </c>
      <c r="I123" s="15" t="s">
        <v>1874</v>
      </c>
      <c r="J123" s="15" t="s">
        <v>1473</v>
      </c>
      <c r="K123" s="15" t="s">
        <v>1894</v>
      </c>
    </row>
    <row r="124" customFormat="false" ht="23.85" hidden="false" customHeight="false" outlineLevel="0" collapsed="false">
      <c r="A124" s="15" t="s">
        <v>41</v>
      </c>
      <c r="B124" s="15" t="s">
        <v>1899</v>
      </c>
      <c r="C124" s="15" t="s">
        <v>1078</v>
      </c>
      <c r="D124" s="15" t="s">
        <v>81</v>
      </c>
      <c r="E124" s="20" t="s">
        <v>75</v>
      </c>
      <c r="F124" s="15" t="s">
        <v>1900</v>
      </c>
      <c r="G124" s="15" t="s">
        <v>1901</v>
      </c>
      <c r="H124" s="15" t="s">
        <v>1097</v>
      </c>
      <c r="I124" s="15" t="s">
        <v>1865</v>
      </c>
      <c r="J124" s="15" t="s">
        <v>1465</v>
      </c>
      <c r="K124" s="15" t="s">
        <v>1902</v>
      </c>
    </row>
    <row r="125" customFormat="false" ht="23.85" hidden="false" customHeight="false" outlineLevel="0" collapsed="false">
      <c r="A125" s="15" t="s">
        <v>41</v>
      </c>
      <c r="B125" s="15" t="s">
        <v>1903</v>
      </c>
      <c r="C125" s="15" t="s">
        <v>1078</v>
      </c>
      <c r="D125" s="15" t="s">
        <v>81</v>
      </c>
      <c r="E125" s="19" t="s">
        <v>74</v>
      </c>
      <c r="F125" s="15" t="s">
        <v>1900</v>
      </c>
      <c r="G125" s="15" t="s">
        <v>1904</v>
      </c>
      <c r="H125" s="15" t="s">
        <v>1091</v>
      </c>
      <c r="I125" s="15" t="s">
        <v>1870</v>
      </c>
      <c r="J125" s="15" t="s">
        <v>1465</v>
      </c>
      <c r="K125" s="15" t="s">
        <v>1902</v>
      </c>
    </row>
    <row r="126" customFormat="false" ht="23.85" hidden="false" customHeight="false" outlineLevel="0" collapsed="false">
      <c r="A126" s="15" t="s">
        <v>41</v>
      </c>
      <c r="B126" s="15" t="s">
        <v>1905</v>
      </c>
      <c r="C126" s="15" t="s">
        <v>1078</v>
      </c>
      <c r="D126" s="15" t="s">
        <v>81</v>
      </c>
      <c r="E126" s="16" t="s">
        <v>73</v>
      </c>
      <c r="F126" s="15" t="s">
        <v>1900</v>
      </c>
      <c r="G126" s="15" t="s">
        <v>1906</v>
      </c>
      <c r="H126" s="15" t="s">
        <v>1084</v>
      </c>
      <c r="I126" s="15" t="s">
        <v>1874</v>
      </c>
      <c r="J126" s="15" t="s">
        <v>1473</v>
      </c>
      <c r="K126" s="15" t="s">
        <v>1902</v>
      </c>
    </row>
    <row r="127" customFormat="false" ht="23.85" hidden="false" customHeight="false" outlineLevel="0" collapsed="false">
      <c r="A127" s="15" t="s">
        <v>41</v>
      </c>
      <c r="B127" s="15" t="s">
        <v>1907</v>
      </c>
      <c r="C127" s="15" t="s">
        <v>1116</v>
      </c>
      <c r="D127" s="15" t="s">
        <v>81</v>
      </c>
      <c r="E127" s="20" t="s">
        <v>75</v>
      </c>
      <c r="F127" s="15" t="s">
        <v>1523</v>
      </c>
      <c r="G127" s="15" t="s">
        <v>1908</v>
      </c>
      <c r="H127" s="15" t="s">
        <v>1133</v>
      </c>
      <c r="I127" s="15" t="s">
        <v>1865</v>
      </c>
      <c r="J127" s="15" t="s">
        <v>1465</v>
      </c>
      <c r="K127" s="15" t="s">
        <v>1909</v>
      </c>
    </row>
    <row r="128" customFormat="false" ht="23.85" hidden="false" customHeight="false" outlineLevel="0" collapsed="false">
      <c r="A128" s="15" t="s">
        <v>41</v>
      </c>
      <c r="B128" s="15" t="s">
        <v>1910</v>
      </c>
      <c r="C128" s="15" t="s">
        <v>1116</v>
      </c>
      <c r="D128" s="15" t="s">
        <v>81</v>
      </c>
      <c r="E128" s="19" t="s">
        <v>74</v>
      </c>
      <c r="F128" s="15" t="s">
        <v>1523</v>
      </c>
      <c r="G128" s="15" t="s">
        <v>1911</v>
      </c>
      <c r="H128" s="15" t="s">
        <v>1127</v>
      </c>
      <c r="I128" s="15" t="s">
        <v>1870</v>
      </c>
      <c r="J128" s="15" t="s">
        <v>1465</v>
      </c>
      <c r="K128" s="15" t="s">
        <v>1909</v>
      </c>
    </row>
    <row r="129" customFormat="false" ht="23.85" hidden="false" customHeight="false" outlineLevel="0" collapsed="false">
      <c r="A129" s="15" t="s">
        <v>41</v>
      </c>
      <c r="B129" s="15" t="s">
        <v>1912</v>
      </c>
      <c r="C129" s="15" t="s">
        <v>1116</v>
      </c>
      <c r="D129" s="15" t="s">
        <v>81</v>
      </c>
      <c r="E129" s="16" t="s">
        <v>73</v>
      </c>
      <c r="F129" s="15" t="s">
        <v>1523</v>
      </c>
      <c r="G129" s="15" t="s">
        <v>1913</v>
      </c>
      <c r="H129" s="15" t="s">
        <v>1121</v>
      </c>
      <c r="I129" s="15" t="s">
        <v>1874</v>
      </c>
      <c r="J129" s="15" t="s">
        <v>1473</v>
      </c>
      <c r="K129" s="15" t="s">
        <v>1909</v>
      </c>
    </row>
    <row r="130" customFormat="false" ht="23.85" hidden="false" customHeight="false" outlineLevel="0" collapsed="false">
      <c r="A130" s="15" t="s">
        <v>41</v>
      </c>
      <c r="B130" s="15" t="s">
        <v>1914</v>
      </c>
      <c r="C130" s="15" t="s">
        <v>293</v>
      </c>
      <c r="D130" s="15" t="s">
        <v>81</v>
      </c>
      <c r="E130" s="20" t="s">
        <v>75</v>
      </c>
      <c r="F130" s="15" t="s">
        <v>1915</v>
      </c>
      <c r="G130" s="15" t="s">
        <v>1916</v>
      </c>
      <c r="H130" s="15" t="s">
        <v>1146</v>
      </c>
      <c r="I130" s="15" t="s">
        <v>1865</v>
      </c>
      <c r="J130" s="15" t="s">
        <v>1465</v>
      </c>
      <c r="K130" s="15" t="s">
        <v>1917</v>
      </c>
    </row>
    <row r="131" customFormat="false" ht="23.85" hidden="false" customHeight="false" outlineLevel="0" collapsed="false">
      <c r="A131" s="15" t="s">
        <v>41</v>
      </c>
      <c r="B131" s="15" t="s">
        <v>1918</v>
      </c>
      <c r="C131" s="15" t="s">
        <v>293</v>
      </c>
      <c r="D131" s="15" t="s">
        <v>81</v>
      </c>
      <c r="E131" s="19" t="s">
        <v>74</v>
      </c>
      <c r="F131" s="15" t="s">
        <v>1915</v>
      </c>
      <c r="G131" s="15" t="s">
        <v>1919</v>
      </c>
      <c r="H131" s="15" t="s">
        <v>1141</v>
      </c>
      <c r="I131" s="15" t="s">
        <v>1870</v>
      </c>
      <c r="J131" s="15" t="s">
        <v>1465</v>
      </c>
      <c r="K131" s="15" t="s">
        <v>1917</v>
      </c>
    </row>
    <row r="132" customFormat="false" ht="23.85" hidden="false" customHeight="false" outlineLevel="0" collapsed="false">
      <c r="A132" s="15" t="s">
        <v>41</v>
      </c>
      <c r="B132" s="15" t="s">
        <v>1920</v>
      </c>
      <c r="C132" s="15" t="s">
        <v>293</v>
      </c>
      <c r="D132" s="15" t="s">
        <v>81</v>
      </c>
      <c r="E132" s="16" t="s">
        <v>73</v>
      </c>
      <c r="F132" s="15" t="s">
        <v>1915</v>
      </c>
      <c r="G132" s="15" t="s">
        <v>1921</v>
      </c>
      <c r="H132" s="15" t="s">
        <v>1136</v>
      </c>
      <c r="I132" s="15" t="s">
        <v>1874</v>
      </c>
      <c r="J132" s="15" t="s">
        <v>1473</v>
      </c>
      <c r="K132" s="15" t="s">
        <v>1917</v>
      </c>
    </row>
    <row r="133" customFormat="false" ht="23.85" hidden="false" customHeight="false" outlineLevel="0" collapsed="false">
      <c r="A133" s="15" t="s">
        <v>45</v>
      </c>
      <c r="B133" s="15" t="s">
        <v>1922</v>
      </c>
      <c r="C133" s="15" t="s">
        <v>1923</v>
      </c>
      <c r="D133" s="15" t="s">
        <v>1461</v>
      </c>
      <c r="E133" s="20" t="s">
        <v>75</v>
      </c>
      <c r="F133" s="15" t="s">
        <v>1924</v>
      </c>
      <c r="G133" s="15" t="s">
        <v>1925</v>
      </c>
      <c r="H133" s="15" t="s">
        <v>1159</v>
      </c>
      <c r="I133" s="15" t="s">
        <v>1926</v>
      </c>
      <c r="J133" s="15" t="s">
        <v>1465</v>
      </c>
      <c r="K133" s="15" t="s">
        <v>1927</v>
      </c>
    </row>
    <row r="134" customFormat="false" ht="23.85" hidden="false" customHeight="false" outlineLevel="0" collapsed="false">
      <c r="A134" s="15" t="s">
        <v>45</v>
      </c>
      <c r="B134" s="15" t="s">
        <v>1928</v>
      </c>
      <c r="C134" s="15" t="s">
        <v>1923</v>
      </c>
      <c r="D134" s="15" t="s">
        <v>1461</v>
      </c>
      <c r="E134" s="19" t="s">
        <v>74</v>
      </c>
      <c r="F134" s="15" t="s">
        <v>1924</v>
      </c>
      <c r="G134" s="15" t="s">
        <v>1929</v>
      </c>
      <c r="H134" s="15" t="s">
        <v>1155</v>
      </c>
      <c r="I134" s="15" t="s">
        <v>1930</v>
      </c>
      <c r="J134" s="15" t="s">
        <v>1465</v>
      </c>
      <c r="K134" s="15" t="s">
        <v>1927</v>
      </c>
    </row>
    <row r="135" customFormat="false" ht="23.85" hidden="false" customHeight="false" outlineLevel="0" collapsed="false">
      <c r="A135" s="15" t="s">
        <v>45</v>
      </c>
      <c r="B135" s="15" t="s">
        <v>1931</v>
      </c>
      <c r="C135" s="15" t="s">
        <v>1923</v>
      </c>
      <c r="D135" s="15" t="s">
        <v>1461</v>
      </c>
      <c r="E135" s="16" t="s">
        <v>73</v>
      </c>
      <c r="F135" s="15" t="s">
        <v>1924</v>
      </c>
      <c r="G135" s="15" t="s">
        <v>1932</v>
      </c>
      <c r="H135" s="15" t="s">
        <v>1149</v>
      </c>
      <c r="I135" s="15" t="s">
        <v>1933</v>
      </c>
      <c r="J135" s="15" t="s">
        <v>1473</v>
      </c>
      <c r="K135" s="15" t="s">
        <v>1927</v>
      </c>
    </row>
    <row r="136" customFormat="false" ht="23.85" hidden="false" customHeight="false" outlineLevel="0" collapsed="false">
      <c r="A136" s="15" t="s">
        <v>45</v>
      </c>
      <c r="B136" s="15" t="s">
        <v>1934</v>
      </c>
      <c r="C136" s="15" t="s">
        <v>298</v>
      </c>
      <c r="D136" s="15" t="s">
        <v>81</v>
      </c>
      <c r="E136" s="20" t="s">
        <v>75</v>
      </c>
      <c r="F136" s="15" t="s">
        <v>1935</v>
      </c>
      <c r="G136" s="15" t="s">
        <v>1925</v>
      </c>
      <c r="H136" s="15" t="s">
        <v>1159</v>
      </c>
      <c r="I136" s="15" t="s">
        <v>1926</v>
      </c>
      <c r="J136" s="15" t="s">
        <v>1465</v>
      </c>
      <c r="K136" s="15" t="s">
        <v>1927</v>
      </c>
    </row>
    <row r="137" customFormat="false" ht="23.85" hidden="false" customHeight="false" outlineLevel="0" collapsed="false">
      <c r="A137" s="15" t="s">
        <v>45</v>
      </c>
      <c r="B137" s="15" t="s">
        <v>1936</v>
      </c>
      <c r="C137" s="15" t="s">
        <v>298</v>
      </c>
      <c r="D137" s="15" t="s">
        <v>81</v>
      </c>
      <c r="E137" s="19" t="s">
        <v>74</v>
      </c>
      <c r="F137" s="15" t="s">
        <v>1935</v>
      </c>
      <c r="G137" s="15" t="s">
        <v>1929</v>
      </c>
      <c r="H137" s="15" t="s">
        <v>1155</v>
      </c>
      <c r="I137" s="15" t="s">
        <v>1930</v>
      </c>
      <c r="J137" s="15" t="s">
        <v>1465</v>
      </c>
      <c r="K137" s="15" t="s">
        <v>1927</v>
      </c>
    </row>
    <row r="138" customFormat="false" ht="23.85" hidden="false" customHeight="false" outlineLevel="0" collapsed="false">
      <c r="A138" s="15" t="s">
        <v>45</v>
      </c>
      <c r="B138" s="15" t="s">
        <v>1937</v>
      </c>
      <c r="C138" s="15" t="s">
        <v>298</v>
      </c>
      <c r="D138" s="15" t="s">
        <v>81</v>
      </c>
      <c r="E138" s="16" t="s">
        <v>73</v>
      </c>
      <c r="F138" s="15" t="s">
        <v>1935</v>
      </c>
      <c r="G138" s="15" t="s">
        <v>1932</v>
      </c>
      <c r="H138" s="15" t="s">
        <v>1149</v>
      </c>
      <c r="I138" s="15" t="s">
        <v>1933</v>
      </c>
      <c r="J138" s="15" t="s">
        <v>1473</v>
      </c>
      <c r="K138" s="15" t="s">
        <v>1927</v>
      </c>
    </row>
    <row r="139" customFormat="false" ht="23.85" hidden="false" customHeight="false" outlineLevel="0" collapsed="false">
      <c r="A139" s="15" t="s">
        <v>45</v>
      </c>
      <c r="B139" s="15" t="s">
        <v>1938</v>
      </c>
      <c r="C139" s="15" t="s">
        <v>1162</v>
      </c>
      <c r="D139" s="15" t="s">
        <v>81</v>
      </c>
      <c r="E139" s="20" t="s">
        <v>75</v>
      </c>
      <c r="F139" s="15" t="s">
        <v>1939</v>
      </c>
      <c r="G139" s="15" t="s">
        <v>1940</v>
      </c>
      <c r="H139" s="15" t="s">
        <v>1181</v>
      </c>
      <c r="I139" s="15" t="s">
        <v>1926</v>
      </c>
      <c r="J139" s="15" t="s">
        <v>1465</v>
      </c>
      <c r="K139" s="15" t="s">
        <v>1941</v>
      </c>
    </row>
    <row r="140" customFormat="false" ht="23.85" hidden="false" customHeight="false" outlineLevel="0" collapsed="false">
      <c r="A140" s="15" t="s">
        <v>45</v>
      </c>
      <c r="B140" s="15" t="s">
        <v>1942</v>
      </c>
      <c r="C140" s="15" t="s">
        <v>1162</v>
      </c>
      <c r="D140" s="15" t="s">
        <v>81</v>
      </c>
      <c r="E140" s="19" t="s">
        <v>74</v>
      </c>
      <c r="F140" s="15" t="s">
        <v>1939</v>
      </c>
      <c r="G140" s="15" t="s">
        <v>1943</v>
      </c>
      <c r="H140" s="15" t="s">
        <v>1175</v>
      </c>
      <c r="I140" s="15" t="s">
        <v>1930</v>
      </c>
      <c r="J140" s="15" t="s">
        <v>1465</v>
      </c>
      <c r="K140" s="15" t="s">
        <v>1941</v>
      </c>
    </row>
    <row r="141" customFormat="false" ht="23.85" hidden="false" customHeight="false" outlineLevel="0" collapsed="false">
      <c r="A141" s="15" t="s">
        <v>45</v>
      </c>
      <c r="B141" s="15" t="s">
        <v>1944</v>
      </c>
      <c r="C141" s="15" t="s">
        <v>1162</v>
      </c>
      <c r="D141" s="15" t="s">
        <v>81</v>
      </c>
      <c r="E141" s="16" t="s">
        <v>73</v>
      </c>
      <c r="F141" s="15" t="s">
        <v>1939</v>
      </c>
      <c r="G141" s="15" t="s">
        <v>1945</v>
      </c>
      <c r="H141" s="15" t="s">
        <v>1168</v>
      </c>
      <c r="I141" s="15" t="s">
        <v>1933</v>
      </c>
      <c r="J141" s="15" t="s">
        <v>1473</v>
      </c>
      <c r="K141" s="15" t="s">
        <v>1941</v>
      </c>
    </row>
    <row r="142" customFormat="false" ht="23.85" hidden="false" customHeight="false" outlineLevel="0" collapsed="false">
      <c r="A142" s="15" t="s">
        <v>45</v>
      </c>
      <c r="B142" s="15" t="s">
        <v>1946</v>
      </c>
      <c r="C142" s="15" t="s">
        <v>305</v>
      </c>
      <c r="D142" s="15" t="s">
        <v>81</v>
      </c>
      <c r="E142" s="20" t="s">
        <v>75</v>
      </c>
      <c r="F142" s="15" t="s">
        <v>1947</v>
      </c>
      <c r="G142" s="15" t="s">
        <v>1948</v>
      </c>
      <c r="H142" s="15" t="s">
        <v>1194</v>
      </c>
      <c r="I142" s="15" t="s">
        <v>1926</v>
      </c>
      <c r="J142" s="15" t="s">
        <v>1465</v>
      </c>
      <c r="K142" s="15" t="s">
        <v>1949</v>
      </c>
    </row>
    <row r="143" customFormat="false" ht="23.85" hidden="false" customHeight="false" outlineLevel="0" collapsed="false">
      <c r="A143" s="15" t="s">
        <v>45</v>
      </c>
      <c r="B143" s="15" t="s">
        <v>1950</v>
      </c>
      <c r="C143" s="15" t="s">
        <v>305</v>
      </c>
      <c r="D143" s="15" t="s">
        <v>81</v>
      </c>
      <c r="E143" s="19" t="s">
        <v>74</v>
      </c>
      <c r="F143" s="15" t="s">
        <v>1947</v>
      </c>
      <c r="G143" s="15" t="s">
        <v>1951</v>
      </c>
      <c r="H143" s="15" t="s">
        <v>1190</v>
      </c>
      <c r="I143" s="15" t="s">
        <v>1930</v>
      </c>
      <c r="J143" s="15" t="s">
        <v>1465</v>
      </c>
      <c r="K143" s="15" t="s">
        <v>1949</v>
      </c>
    </row>
    <row r="144" customFormat="false" ht="23.85" hidden="false" customHeight="false" outlineLevel="0" collapsed="false">
      <c r="A144" s="15" t="s">
        <v>45</v>
      </c>
      <c r="B144" s="15" t="s">
        <v>1952</v>
      </c>
      <c r="C144" s="15" t="s">
        <v>305</v>
      </c>
      <c r="D144" s="15" t="s">
        <v>81</v>
      </c>
      <c r="E144" s="16" t="s">
        <v>73</v>
      </c>
      <c r="F144" s="15" t="s">
        <v>1947</v>
      </c>
      <c r="G144" s="15" t="s">
        <v>1953</v>
      </c>
      <c r="H144" s="15" t="s">
        <v>1184</v>
      </c>
      <c r="I144" s="15" t="s">
        <v>1933</v>
      </c>
      <c r="J144" s="15" t="s">
        <v>1473</v>
      </c>
      <c r="K144" s="15" t="s">
        <v>1949</v>
      </c>
    </row>
    <row r="145" customFormat="false" ht="23.85" hidden="false" customHeight="false" outlineLevel="0" collapsed="false">
      <c r="A145" s="15" t="s">
        <v>45</v>
      </c>
      <c r="B145" s="15" t="s">
        <v>1954</v>
      </c>
      <c r="C145" s="15" t="s">
        <v>1197</v>
      </c>
      <c r="D145" s="15" t="s">
        <v>81</v>
      </c>
      <c r="E145" s="20" t="s">
        <v>75</v>
      </c>
      <c r="F145" s="15" t="s">
        <v>1955</v>
      </c>
      <c r="G145" s="15" t="s">
        <v>1956</v>
      </c>
      <c r="H145" s="15" t="s">
        <v>1214</v>
      </c>
      <c r="I145" s="15" t="s">
        <v>1926</v>
      </c>
      <c r="J145" s="15" t="s">
        <v>1465</v>
      </c>
      <c r="K145" s="15" t="s">
        <v>1957</v>
      </c>
    </row>
    <row r="146" customFormat="false" ht="23.85" hidden="false" customHeight="false" outlineLevel="0" collapsed="false">
      <c r="A146" s="15" t="s">
        <v>45</v>
      </c>
      <c r="B146" s="15" t="s">
        <v>1958</v>
      </c>
      <c r="C146" s="15" t="s">
        <v>1197</v>
      </c>
      <c r="D146" s="15" t="s">
        <v>81</v>
      </c>
      <c r="E146" s="19" t="s">
        <v>74</v>
      </c>
      <c r="F146" s="15" t="s">
        <v>1955</v>
      </c>
      <c r="G146" s="15" t="s">
        <v>1959</v>
      </c>
      <c r="H146" s="15" t="s">
        <v>1209</v>
      </c>
      <c r="I146" s="15" t="s">
        <v>1930</v>
      </c>
      <c r="J146" s="15" t="s">
        <v>1465</v>
      </c>
      <c r="K146" s="15" t="s">
        <v>1957</v>
      </c>
    </row>
    <row r="147" customFormat="false" ht="23.85" hidden="false" customHeight="false" outlineLevel="0" collapsed="false">
      <c r="A147" s="15" t="s">
        <v>45</v>
      </c>
      <c r="B147" s="15" t="s">
        <v>1960</v>
      </c>
      <c r="C147" s="15" t="s">
        <v>1197</v>
      </c>
      <c r="D147" s="15" t="s">
        <v>81</v>
      </c>
      <c r="E147" s="16" t="s">
        <v>73</v>
      </c>
      <c r="F147" s="15" t="s">
        <v>1955</v>
      </c>
      <c r="G147" s="15" t="s">
        <v>1961</v>
      </c>
      <c r="H147" s="15" t="s">
        <v>1203</v>
      </c>
      <c r="I147" s="15" t="s">
        <v>1933</v>
      </c>
      <c r="J147" s="15" t="s">
        <v>1473</v>
      </c>
      <c r="K147" s="15" t="s">
        <v>1957</v>
      </c>
    </row>
    <row r="148" customFormat="false" ht="23.85" hidden="false" customHeight="false" outlineLevel="0" collapsed="false">
      <c r="A148" s="15" t="s">
        <v>45</v>
      </c>
      <c r="B148" s="15" t="s">
        <v>1962</v>
      </c>
      <c r="C148" s="15" t="s">
        <v>1217</v>
      </c>
      <c r="D148" s="15" t="s">
        <v>81</v>
      </c>
      <c r="E148" s="20" t="s">
        <v>75</v>
      </c>
      <c r="F148" s="15" t="s">
        <v>1963</v>
      </c>
      <c r="G148" s="15" t="s">
        <v>1964</v>
      </c>
      <c r="H148" s="15" t="s">
        <v>1234</v>
      </c>
      <c r="I148" s="15" t="s">
        <v>1926</v>
      </c>
      <c r="J148" s="15" t="s">
        <v>1465</v>
      </c>
      <c r="K148" s="15" t="s">
        <v>1965</v>
      </c>
    </row>
    <row r="149" customFormat="false" ht="23.85" hidden="false" customHeight="false" outlineLevel="0" collapsed="false">
      <c r="A149" s="15" t="s">
        <v>45</v>
      </c>
      <c r="B149" s="15" t="s">
        <v>1966</v>
      </c>
      <c r="C149" s="15" t="s">
        <v>1217</v>
      </c>
      <c r="D149" s="15" t="s">
        <v>81</v>
      </c>
      <c r="E149" s="19" t="s">
        <v>74</v>
      </c>
      <c r="F149" s="15" t="s">
        <v>1963</v>
      </c>
      <c r="G149" s="15" t="s">
        <v>1967</v>
      </c>
      <c r="H149" s="15" t="s">
        <v>1228</v>
      </c>
      <c r="I149" s="15" t="s">
        <v>1930</v>
      </c>
      <c r="J149" s="15" t="s">
        <v>1465</v>
      </c>
      <c r="K149" s="15" t="s">
        <v>1965</v>
      </c>
    </row>
    <row r="150" customFormat="false" ht="23.85" hidden="false" customHeight="false" outlineLevel="0" collapsed="false">
      <c r="A150" s="15" t="s">
        <v>45</v>
      </c>
      <c r="B150" s="15" t="s">
        <v>1968</v>
      </c>
      <c r="C150" s="15" t="s">
        <v>1217</v>
      </c>
      <c r="D150" s="15" t="s">
        <v>81</v>
      </c>
      <c r="E150" s="16" t="s">
        <v>73</v>
      </c>
      <c r="F150" s="15" t="s">
        <v>1963</v>
      </c>
      <c r="G150" s="15" t="s">
        <v>1969</v>
      </c>
      <c r="H150" s="15" t="s">
        <v>1221</v>
      </c>
      <c r="I150" s="15" t="s">
        <v>1933</v>
      </c>
      <c r="J150" s="15" t="s">
        <v>1473</v>
      </c>
      <c r="K150" s="15" t="s">
        <v>1965</v>
      </c>
    </row>
    <row r="151" customFormat="false" ht="23.85" hidden="false" customHeight="false" outlineLevel="0" collapsed="false">
      <c r="A151" s="15" t="s">
        <v>45</v>
      </c>
      <c r="B151" s="15" t="s">
        <v>1970</v>
      </c>
      <c r="C151" s="15" t="s">
        <v>311</v>
      </c>
      <c r="D151" s="15" t="s">
        <v>81</v>
      </c>
      <c r="E151" s="20" t="s">
        <v>75</v>
      </c>
      <c r="F151" s="15" t="s">
        <v>1971</v>
      </c>
      <c r="G151" s="15" t="s">
        <v>1972</v>
      </c>
      <c r="H151" s="15" t="s">
        <v>1249</v>
      </c>
      <c r="I151" s="15" t="s">
        <v>1973</v>
      </c>
      <c r="J151" s="15" t="s">
        <v>1465</v>
      </c>
      <c r="K151" s="15" t="s">
        <v>1974</v>
      </c>
    </row>
    <row r="152" customFormat="false" ht="23.85" hidden="false" customHeight="false" outlineLevel="0" collapsed="false">
      <c r="A152" s="15" t="s">
        <v>45</v>
      </c>
      <c r="B152" s="15" t="s">
        <v>1975</v>
      </c>
      <c r="C152" s="15" t="s">
        <v>311</v>
      </c>
      <c r="D152" s="15" t="s">
        <v>81</v>
      </c>
      <c r="E152" s="19" t="s">
        <v>74</v>
      </c>
      <c r="F152" s="15" t="s">
        <v>1971</v>
      </c>
      <c r="G152" s="15" t="s">
        <v>1976</v>
      </c>
      <c r="H152" s="15" t="s">
        <v>1243</v>
      </c>
      <c r="I152" s="15" t="s">
        <v>1977</v>
      </c>
      <c r="J152" s="15" t="s">
        <v>1465</v>
      </c>
      <c r="K152" s="15" t="s">
        <v>1974</v>
      </c>
    </row>
    <row r="153" customFormat="false" ht="23.85" hidden="false" customHeight="false" outlineLevel="0" collapsed="false">
      <c r="A153" s="15" t="s">
        <v>45</v>
      </c>
      <c r="B153" s="15" t="s">
        <v>1978</v>
      </c>
      <c r="C153" s="15" t="s">
        <v>311</v>
      </c>
      <c r="D153" s="15" t="s">
        <v>81</v>
      </c>
      <c r="E153" s="16" t="s">
        <v>73</v>
      </c>
      <c r="F153" s="15" t="s">
        <v>1971</v>
      </c>
      <c r="G153" s="15" t="s">
        <v>1979</v>
      </c>
      <c r="H153" s="15" t="s">
        <v>1237</v>
      </c>
      <c r="I153" s="15" t="s">
        <v>1980</v>
      </c>
      <c r="J153" s="15" t="s">
        <v>1473</v>
      </c>
      <c r="K153" s="15" t="s">
        <v>1974</v>
      </c>
    </row>
    <row r="154" customFormat="false" ht="23.85" hidden="false" customHeight="false" outlineLevel="0" collapsed="false">
      <c r="A154" s="15" t="s">
        <v>49</v>
      </c>
      <c r="B154" s="15" t="s">
        <v>1981</v>
      </c>
      <c r="C154" s="15" t="s">
        <v>1982</v>
      </c>
      <c r="D154" s="15" t="s">
        <v>1461</v>
      </c>
      <c r="E154" s="20" t="s">
        <v>75</v>
      </c>
      <c r="F154" s="15" t="s">
        <v>1523</v>
      </c>
      <c r="G154" s="15" t="s">
        <v>1983</v>
      </c>
      <c r="H154" s="15" t="s">
        <v>1262</v>
      </c>
      <c r="I154" s="15" t="s">
        <v>1464</v>
      </c>
      <c r="J154" s="15" t="s">
        <v>1465</v>
      </c>
      <c r="K154" s="15" t="s">
        <v>1984</v>
      </c>
    </row>
    <row r="155" customFormat="false" ht="23.85" hidden="false" customHeight="false" outlineLevel="0" collapsed="false">
      <c r="A155" s="15" t="s">
        <v>49</v>
      </c>
      <c r="B155" s="15" t="s">
        <v>1985</v>
      </c>
      <c r="C155" s="15" t="s">
        <v>1982</v>
      </c>
      <c r="D155" s="15" t="s">
        <v>1461</v>
      </c>
      <c r="E155" s="19" t="s">
        <v>74</v>
      </c>
      <c r="F155" s="15" t="s">
        <v>1523</v>
      </c>
      <c r="G155" s="15" t="s">
        <v>1986</v>
      </c>
      <c r="H155" s="15" t="s">
        <v>1257</v>
      </c>
      <c r="I155" s="15" t="s">
        <v>1469</v>
      </c>
      <c r="J155" s="15" t="s">
        <v>1465</v>
      </c>
      <c r="K155" s="15" t="s">
        <v>1984</v>
      </c>
    </row>
    <row r="156" customFormat="false" ht="23.85" hidden="false" customHeight="false" outlineLevel="0" collapsed="false">
      <c r="A156" s="15" t="s">
        <v>49</v>
      </c>
      <c r="B156" s="15" t="s">
        <v>1987</v>
      </c>
      <c r="C156" s="15" t="s">
        <v>1982</v>
      </c>
      <c r="D156" s="15" t="s">
        <v>1461</v>
      </c>
      <c r="E156" s="16" t="s">
        <v>73</v>
      </c>
      <c r="F156" s="15" t="s">
        <v>1523</v>
      </c>
      <c r="G156" s="15" t="s">
        <v>1988</v>
      </c>
      <c r="H156" s="15" t="s">
        <v>1252</v>
      </c>
      <c r="I156" s="15" t="s">
        <v>1472</v>
      </c>
      <c r="J156" s="15" t="s">
        <v>1473</v>
      </c>
      <c r="K156" s="15" t="s">
        <v>1984</v>
      </c>
    </row>
    <row r="157" customFormat="false" ht="35.05" hidden="false" customHeight="false" outlineLevel="0" collapsed="false">
      <c r="A157" s="15" t="s">
        <v>49</v>
      </c>
      <c r="B157" s="15" t="s">
        <v>1989</v>
      </c>
      <c r="C157" s="15" t="s">
        <v>1990</v>
      </c>
      <c r="D157" s="15" t="s">
        <v>1461</v>
      </c>
      <c r="E157" s="20" t="s">
        <v>75</v>
      </c>
      <c r="F157" s="15" t="s">
        <v>1991</v>
      </c>
      <c r="G157" s="15" t="s">
        <v>1992</v>
      </c>
      <c r="H157" s="15" t="s">
        <v>1993</v>
      </c>
      <c r="I157" s="15" t="s">
        <v>1464</v>
      </c>
      <c r="J157" s="15" t="s">
        <v>1465</v>
      </c>
      <c r="K157" s="15" t="s">
        <v>1994</v>
      </c>
    </row>
    <row r="158" customFormat="false" ht="35.05" hidden="false" customHeight="false" outlineLevel="0" collapsed="false">
      <c r="A158" s="15" t="s">
        <v>49</v>
      </c>
      <c r="B158" s="15" t="s">
        <v>1995</v>
      </c>
      <c r="C158" s="15" t="s">
        <v>1990</v>
      </c>
      <c r="D158" s="15" t="s">
        <v>1461</v>
      </c>
      <c r="E158" s="19" t="s">
        <v>74</v>
      </c>
      <c r="F158" s="15" t="s">
        <v>1991</v>
      </c>
      <c r="G158" s="15" t="s">
        <v>1996</v>
      </c>
      <c r="H158" s="15" t="s">
        <v>1997</v>
      </c>
      <c r="I158" s="15" t="s">
        <v>1469</v>
      </c>
      <c r="J158" s="15" t="s">
        <v>1465</v>
      </c>
      <c r="K158" s="15" t="s">
        <v>1994</v>
      </c>
    </row>
    <row r="159" customFormat="false" ht="35.05" hidden="false" customHeight="false" outlineLevel="0" collapsed="false">
      <c r="A159" s="15" t="s">
        <v>49</v>
      </c>
      <c r="B159" s="15" t="s">
        <v>1998</v>
      </c>
      <c r="C159" s="15" t="s">
        <v>1990</v>
      </c>
      <c r="D159" s="15" t="s">
        <v>1461</v>
      </c>
      <c r="E159" s="16" t="s">
        <v>73</v>
      </c>
      <c r="F159" s="15" t="s">
        <v>1991</v>
      </c>
      <c r="G159" s="15" t="s">
        <v>1999</v>
      </c>
      <c r="H159" s="15" t="s">
        <v>2000</v>
      </c>
      <c r="I159" s="15" t="s">
        <v>1472</v>
      </c>
      <c r="J159" s="15" t="s">
        <v>1473</v>
      </c>
      <c r="K159" s="15" t="s">
        <v>1994</v>
      </c>
    </row>
    <row r="160" customFormat="false" ht="23.85" hidden="false" customHeight="false" outlineLevel="0" collapsed="false">
      <c r="A160" s="15" t="s">
        <v>49</v>
      </c>
      <c r="B160" s="15" t="s">
        <v>2001</v>
      </c>
      <c r="C160" s="15" t="s">
        <v>2002</v>
      </c>
      <c r="D160" s="15" t="s">
        <v>1461</v>
      </c>
      <c r="E160" s="20" t="s">
        <v>75</v>
      </c>
      <c r="F160" s="15" t="s">
        <v>2003</v>
      </c>
      <c r="G160" s="15" t="s">
        <v>2004</v>
      </c>
      <c r="H160" s="15" t="s">
        <v>1344</v>
      </c>
      <c r="I160" s="15" t="s">
        <v>1973</v>
      </c>
      <c r="J160" s="15" t="s">
        <v>1465</v>
      </c>
      <c r="K160" s="15" t="s">
        <v>2005</v>
      </c>
    </row>
    <row r="161" customFormat="false" ht="23.85" hidden="false" customHeight="false" outlineLevel="0" collapsed="false">
      <c r="A161" s="15" t="s">
        <v>49</v>
      </c>
      <c r="B161" s="15" t="s">
        <v>2006</v>
      </c>
      <c r="C161" s="15" t="s">
        <v>2002</v>
      </c>
      <c r="D161" s="15" t="s">
        <v>1461</v>
      </c>
      <c r="E161" s="19" t="s">
        <v>74</v>
      </c>
      <c r="F161" s="15" t="s">
        <v>2003</v>
      </c>
      <c r="G161" s="15" t="s">
        <v>2007</v>
      </c>
      <c r="H161" s="15" t="s">
        <v>1337</v>
      </c>
      <c r="I161" s="15" t="s">
        <v>1977</v>
      </c>
      <c r="J161" s="15" t="s">
        <v>1465</v>
      </c>
      <c r="K161" s="15" t="s">
        <v>2005</v>
      </c>
    </row>
    <row r="162" customFormat="false" ht="23.85" hidden="false" customHeight="false" outlineLevel="0" collapsed="false">
      <c r="A162" s="15" t="s">
        <v>49</v>
      </c>
      <c r="B162" s="15" t="s">
        <v>2008</v>
      </c>
      <c r="C162" s="15" t="s">
        <v>2002</v>
      </c>
      <c r="D162" s="15" t="s">
        <v>1461</v>
      </c>
      <c r="E162" s="16" t="s">
        <v>73</v>
      </c>
      <c r="F162" s="15" t="s">
        <v>2003</v>
      </c>
      <c r="G162" s="15" t="s">
        <v>2009</v>
      </c>
      <c r="H162" s="15" t="s">
        <v>1331</v>
      </c>
      <c r="I162" s="15" t="s">
        <v>1980</v>
      </c>
      <c r="J162" s="15" t="s">
        <v>1473</v>
      </c>
      <c r="K162" s="15" t="s">
        <v>2005</v>
      </c>
    </row>
    <row r="163" customFormat="false" ht="35.05" hidden="false" customHeight="false" outlineLevel="0" collapsed="false">
      <c r="A163" s="15" t="s">
        <v>49</v>
      </c>
      <c r="B163" s="15" t="s">
        <v>2010</v>
      </c>
      <c r="C163" s="15" t="s">
        <v>318</v>
      </c>
      <c r="D163" s="15" t="s">
        <v>81</v>
      </c>
      <c r="E163" s="20" t="s">
        <v>75</v>
      </c>
      <c r="F163" s="15" t="s">
        <v>2011</v>
      </c>
      <c r="G163" s="15" t="s">
        <v>1983</v>
      </c>
      <c r="H163" s="15" t="s">
        <v>1262</v>
      </c>
      <c r="I163" s="15" t="s">
        <v>2012</v>
      </c>
      <c r="J163" s="15" t="s">
        <v>1465</v>
      </c>
      <c r="K163" s="15" t="s">
        <v>1984</v>
      </c>
    </row>
    <row r="164" customFormat="false" ht="23.85" hidden="false" customHeight="false" outlineLevel="0" collapsed="false">
      <c r="A164" s="15" t="s">
        <v>49</v>
      </c>
      <c r="B164" s="15" t="s">
        <v>2013</v>
      </c>
      <c r="C164" s="15" t="s">
        <v>318</v>
      </c>
      <c r="D164" s="15" t="s">
        <v>81</v>
      </c>
      <c r="E164" s="19" t="s">
        <v>74</v>
      </c>
      <c r="F164" s="15" t="s">
        <v>2011</v>
      </c>
      <c r="G164" s="15" t="s">
        <v>1986</v>
      </c>
      <c r="H164" s="15" t="s">
        <v>1257</v>
      </c>
      <c r="I164" s="15" t="s">
        <v>2014</v>
      </c>
      <c r="J164" s="15" t="s">
        <v>1465</v>
      </c>
      <c r="K164" s="15" t="s">
        <v>1984</v>
      </c>
    </row>
    <row r="165" customFormat="false" ht="23.85" hidden="false" customHeight="false" outlineLevel="0" collapsed="false">
      <c r="A165" s="15" t="s">
        <v>49</v>
      </c>
      <c r="B165" s="15" t="s">
        <v>2015</v>
      </c>
      <c r="C165" s="15" t="s">
        <v>318</v>
      </c>
      <c r="D165" s="15" t="s">
        <v>81</v>
      </c>
      <c r="E165" s="16" t="s">
        <v>73</v>
      </c>
      <c r="F165" s="15" t="s">
        <v>2011</v>
      </c>
      <c r="G165" s="15" t="s">
        <v>1988</v>
      </c>
      <c r="H165" s="15" t="s">
        <v>1252</v>
      </c>
      <c r="I165" s="15" t="s">
        <v>2016</v>
      </c>
      <c r="J165" s="15" t="s">
        <v>1473</v>
      </c>
      <c r="K165" s="15" t="s">
        <v>1984</v>
      </c>
    </row>
    <row r="166" customFormat="false" ht="46.25" hidden="false" customHeight="false" outlineLevel="0" collapsed="false">
      <c r="A166" s="15" t="s">
        <v>49</v>
      </c>
      <c r="B166" s="15" t="s">
        <v>2017</v>
      </c>
      <c r="C166" s="15" t="s">
        <v>325</v>
      </c>
      <c r="D166" s="15" t="s">
        <v>81</v>
      </c>
      <c r="E166" s="20" t="s">
        <v>75</v>
      </c>
      <c r="F166" s="15" t="s">
        <v>2018</v>
      </c>
      <c r="G166" s="15" t="s">
        <v>2019</v>
      </c>
      <c r="H166" s="15" t="s">
        <v>1275</v>
      </c>
      <c r="I166" s="15" t="s">
        <v>2020</v>
      </c>
      <c r="J166" s="15" t="s">
        <v>1465</v>
      </c>
      <c r="K166" s="15" t="s">
        <v>2021</v>
      </c>
    </row>
    <row r="167" customFormat="false" ht="35.05" hidden="false" customHeight="false" outlineLevel="0" collapsed="false">
      <c r="A167" s="15" t="s">
        <v>49</v>
      </c>
      <c r="B167" s="15" t="s">
        <v>2022</v>
      </c>
      <c r="C167" s="15" t="s">
        <v>325</v>
      </c>
      <c r="D167" s="15" t="s">
        <v>81</v>
      </c>
      <c r="E167" s="19" t="s">
        <v>74</v>
      </c>
      <c r="F167" s="15" t="s">
        <v>2018</v>
      </c>
      <c r="G167" s="15" t="s">
        <v>2023</v>
      </c>
      <c r="H167" s="15" t="s">
        <v>1270</v>
      </c>
      <c r="I167" s="15" t="s">
        <v>2024</v>
      </c>
      <c r="J167" s="15" t="s">
        <v>1465</v>
      </c>
      <c r="K167" s="15" t="s">
        <v>2021</v>
      </c>
    </row>
    <row r="168" customFormat="false" ht="23.85" hidden="false" customHeight="false" outlineLevel="0" collapsed="false">
      <c r="A168" s="15" t="s">
        <v>49</v>
      </c>
      <c r="B168" s="15" t="s">
        <v>2025</v>
      </c>
      <c r="C168" s="15" t="s">
        <v>325</v>
      </c>
      <c r="D168" s="15" t="s">
        <v>81</v>
      </c>
      <c r="E168" s="16" t="s">
        <v>73</v>
      </c>
      <c r="F168" s="15" t="s">
        <v>2018</v>
      </c>
      <c r="G168" s="15" t="s">
        <v>2026</v>
      </c>
      <c r="H168" s="15" t="s">
        <v>1265</v>
      </c>
      <c r="I168" s="15" t="s">
        <v>2027</v>
      </c>
      <c r="J168" s="15" t="s">
        <v>1473</v>
      </c>
      <c r="K168" s="15" t="s">
        <v>2021</v>
      </c>
    </row>
    <row r="169" customFormat="false" ht="23.85" hidden="false" customHeight="false" outlineLevel="0" collapsed="false">
      <c r="A169" s="15" t="s">
        <v>49</v>
      </c>
      <c r="B169" s="15" t="s">
        <v>2028</v>
      </c>
      <c r="C169" s="15" t="s">
        <v>330</v>
      </c>
      <c r="D169" s="15" t="s">
        <v>81</v>
      </c>
      <c r="E169" s="20" t="s">
        <v>75</v>
      </c>
      <c r="F169" s="15" t="s">
        <v>2029</v>
      </c>
      <c r="G169" s="15" t="s">
        <v>2030</v>
      </c>
      <c r="H169" s="15" t="s">
        <v>1289</v>
      </c>
      <c r="I169" s="15" t="s">
        <v>1973</v>
      </c>
      <c r="J169" s="15" t="s">
        <v>1465</v>
      </c>
      <c r="K169" s="15" t="s">
        <v>2031</v>
      </c>
    </row>
    <row r="170" customFormat="false" ht="23.85" hidden="false" customHeight="false" outlineLevel="0" collapsed="false">
      <c r="A170" s="15" t="s">
        <v>49</v>
      </c>
      <c r="B170" s="15" t="s">
        <v>2032</v>
      </c>
      <c r="C170" s="15" t="s">
        <v>330</v>
      </c>
      <c r="D170" s="15" t="s">
        <v>81</v>
      </c>
      <c r="E170" s="19" t="s">
        <v>74</v>
      </c>
      <c r="F170" s="15" t="s">
        <v>2029</v>
      </c>
      <c r="G170" s="15" t="s">
        <v>2033</v>
      </c>
      <c r="H170" s="15" t="s">
        <v>1284</v>
      </c>
      <c r="I170" s="15" t="s">
        <v>1977</v>
      </c>
      <c r="J170" s="15" t="s">
        <v>1465</v>
      </c>
      <c r="K170" s="15" t="s">
        <v>2031</v>
      </c>
    </row>
    <row r="171" customFormat="false" ht="23.85" hidden="false" customHeight="false" outlineLevel="0" collapsed="false">
      <c r="A171" s="15" t="s">
        <v>49</v>
      </c>
      <c r="B171" s="15" t="s">
        <v>2034</v>
      </c>
      <c r="C171" s="15" t="s">
        <v>330</v>
      </c>
      <c r="D171" s="15" t="s">
        <v>81</v>
      </c>
      <c r="E171" s="16" t="s">
        <v>73</v>
      </c>
      <c r="F171" s="15" t="s">
        <v>2029</v>
      </c>
      <c r="G171" s="15" t="s">
        <v>2035</v>
      </c>
      <c r="H171" s="15" t="s">
        <v>1278</v>
      </c>
      <c r="I171" s="15" t="s">
        <v>1980</v>
      </c>
      <c r="J171" s="15" t="s">
        <v>1473</v>
      </c>
      <c r="K171" s="15" t="s">
        <v>2031</v>
      </c>
    </row>
    <row r="172" customFormat="false" ht="23.85" hidden="false" customHeight="false" outlineLevel="0" collapsed="false">
      <c r="A172" s="15" t="s">
        <v>49</v>
      </c>
      <c r="B172" s="15" t="s">
        <v>2036</v>
      </c>
      <c r="C172" s="15" t="s">
        <v>1292</v>
      </c>
      <c r="D172" s="15" t="s">
        <v>81</v>
      </c>
      <c r="E172" s="20" t="s">
        <v>75</v>
      </c>
      <c r="F172" s="15" t="s">
        <v>2037</v>
      </c>
      <c r="G172" s="15" t="s">
        <v>2038</v>
      </c>
      <c r="H172" s="15" t="s">
        <v>1308</v>
      </c>
      <c r="I172" s="15" t="s">
        <v>1973</v>
      </c>
      <c r="J172" s="15" t="s">
        <v>1465</v>
      </c>
      <c r="K172" s="15" t="s">
        <v>2039</v>
      </c>
    </row>
    <row r="173" customFormat="false" ht="23.85" hidden="false" customHeight="false" outlineLevel="0" collapsed="false">
      <c r="A173" s="15" t="s">
        <v>49</v>
      </c>
      <c r="B173" s="15" t="s">
        <v>2040</v>
      </c>
      <c r="C173" s="15" t="s">
        <v>1292</v>
      </c>
      <c r="D173" s="15" t="s">
        <v>81</v>
      </c>
      <c r="E173" s="19" t="s">
        <v>74</v>
      </c>
      <c r="F173" s="15" t="s">
        <v>2037</v>
      </c>
      <c r="G173" s="15" t="s">
        <v>2041</v>
      </c>
      <c r="H173" s="15" t="s">
        <v>1302</v>
      </c>
      <c r="I173" s="15" t="s">
        <v>1977</v>
      </c>
      <c r="J173" s="15" t="s">
        <v>1465</v>
      </c>
      <c r="K173" s="15" t="s">
        <v>2039</v>
      </c>
    </row>
    <row r="174" customFormat="false" ht="23.85" hidden="false" customHeight="false" outlineLevel="0" collapsed="false">
      <c r="A174" s="15" t="s">
        <v>49</v>
      </c>
      <c r="B174" s="15" t="s">
        <v>2042</v>
      </c>
      <c r="C174" s="15" t="s">
        <v>1292</v>
      </c>
      <c r="D174" s="15" t="s">
        <v>81</v>
      </c>
      <c r="E174" s="16" t="s">
        <v>73</v>
      </c>
      <c r="F174" s="15" t="s">
        <v>2037</v>
      </c>
      <c r="G174" s="15" t="s">
        <v>2043</v>
      </c>
      <c r="H174" s="15" t="s">
        <v>1297</v>
      </c>
      <c r="I174" s="15" t="s">
        <v>1980</v>
      </c>
      <c r="J174" s="15" t="s">
        <v>1473</v>
      </c>
      <c r="K174" s="15" t="s">
        <v>2039</v>
      </c>
    </row>
    <row r="175" customFormat="false" ht="46.25" hidden="false" customHeight="false" outlineLevel="0" collapsed="false">
      <c r="A175" s="15" t="s">
        <v>49</v>
      </c>
      <c r="B175" s="15" t="s">
        <v>2044</v>
      </c>
      <c r="C175" s="15" t="s">
        <v>336</v>
      </c>
      <c r="D175" s="15" t="s">
        <v>81</v>
      </c>
      <c r="E175" s="20" t="s">
        <v>75</v>
      </c>
      <c r="F175" s="15" t="s">
        <v>2045</v>
      </c>
      <c r="G175" s="15" t="s">
        <v>2046</v>
      </c>
      <c r="H175" s="15" t="s">
        <v>1322</v>
      </c>
      <c r="I175" s="15" t="s">
        <v>2047</v>
      </c>
      <c r="J175" s="15" t="s">
        <v>1465</v>
      </c>
      <c r="K175" s="15" t="s">
        <v>2048</v>
      </c>
    </row>
    <row r="176" customFormat="false" ht="35.05" hidden="false" customHeight="false" outlineLevel="0" collapsed="false">
      <c r="A176" s="15" t="s">
        <v>49</v>
      </c>
      <c r="B176" s="15" t="s">
        <v>2049</v>
      </c>
      <c r="C176" s="15" t="s">
        <v>336</v>
      </c>
      <c r="D176" s="15" t="s">
        <v>81</v>
      </c>
      <c r="E176" s="19" t="s">
        <v>74</v>
      </c>
      <c r="F176" s="15" t="s">
        <v>2045</v>
      </c>
      <c r="G176" s="15" t="s">
        <v>2050</v>
      </c>
      <c r="H176" s="15" t="s">
        <v>1318</v>
      </c>
      <c r="I176" s="15" t="s">
        <v>2051</v>
      </c>
      <c r="J176" s="15" t="s">
        <v>1465</v>
      </c>
      <c r="K176" s="15" t="s">
        <v>2048</v>
      </c>
    </row>
    <row r="177" customFormat="false" ht="23.85" hidden="false" customHeight="false" outlineLevel="0" collapsed="false">
      <c r="A177" s="15" t="s">
        <v>49</v>
      </c>
      <c r="B177" s="15" t="s">
        <v>2052</v>
      </c>
      <c r="C177" s="15" t="s">
        <v>336</v>
      </c>
      <c r="D177" s="15" t="s">
        <v>81</v>
      </c>
      <c r="E177" s="16" t="s">
        <v>73</v>
      </c>
      <c r="F177" s="15" t="s">
        <v>2045</v>
      </c>
      <c r="G177" s="15" t="s">
        <v>2053</v>
      </c>
      <c r="H177" s="15" t="s">
        <v>1311</v>
      </c>
      <c r="I177" s="15" t="s">
        <v>2054</v>
      </c>
      <c r="J177" s="15" t="s">
        <v>1473</v>
      </c>
      <c r="K177" s="15" t="s">
        <v>2048</v>
      </c>
    </row>
    <row r="178" customFormat="false" ht="23.85" hidden="false" customHeight="false" outlineLevel="0" collapsed="false">
      <c r="A178" s="15" t="s">
        <v>49</v>
      </c>
      <c r="B178" s="15" t="s">
        <v>2055</v>
      </c>
      <c r="C178" s="15" t="s">
        <v>1325</v>
      </c>
      <c r="D178" s="15" t="s">
        <v>81</v>
      </c>
      <c r="E178" s="20" t="s">
        <v>75</v>
      </c>
      <c r="F178" s="15" t="s">
        <v>2056</v>
      </c>
      <c r="G178" s="15" t="s">
        <v>2004</v>
      </c>
      <c r="H178" s="15" t="s">
        <v>1344</v>
      </c>
      <c r="I178" s="15" t="s">
        <v>1973</v>
      </c>
      <c r="J178" s="15" t="s">
        <v>1465</v>
      </c>
      <c r="K178" s="15" t="s">
        <v>2005</v>
      </c>
    </row>
    <row r="179" customFormat="false" ht="23.85" hidden="false" customHeight="false" outlineLevel="0" collapsed="false">
      <c r="A179" s="15" t="s">
        <v>49</v>
      </c>
      <c r="B179" s="15" t="s">
        <v>2057</v>
      </c>
      <c r="C179" s="15" t="s">
        <v>1325</v>
      </c>
      <c r="D179" s="15" t="s">
        <v>81</v>
      </c>
      <c r="E179" s="19" t="s">
        <v>74</v>
      </c>
      <c r="F179" s="15" t="s">
        <v>2056</v>
      </c>
      <c r="G179" s="15" t="s">
        <v>2007</v>
      </c>
      <c r="H179" s="15" t="s">
        <v>1337</v>
      </c>
      <c r="I179" s="15" t="s">
        <v>1977</v>
      </c>
      <c r="J179" s="15" t="s">
        <v>1465</v>
      </c>
      <c r="K179" s="15" t="s">
        <v>2005</v>
      </c>
    </row>
    <row r="180" customFormat="false" ht="23.85" hidden="false" customHeight="false" outlineLevel="0" collapsed="false">
      <c r="A180" s="15" t="s">
        <v>49</v>
      </c>
      <c r="B180" s="15" t="s">
        <v>2058</v>
      </c>
      <c r="C180" s="15" t="s">
        <v>1325</v>
      </c>
      <c r="D180" s="15" t="s">
        <v>81</v>
      </c>
      <c r="E180" s="16" t="s">
        <v>73</v>
      </c>
      <c r="F180" s="15" t="s">
        <v>2056</v>
      </c>
      <c r="G180" s="15" t="s">
        <v>2009</v>
      </c>
      <c r="H180" s="15" t="s">
        <v>1331</v>
      </c>
      <c r="I180" s="15" t="s">
        <v>1980</v>
      </c>
      <c r="J180" s="15" t="s">
        <v>1473</v>
      </c>
      <c r="K180" s="15" t="s">
        <v>2005</v>
      </c>
    </row>
    <row r="181" customFormat="false" ht="35.05" hidden="false" customHeight="false" outlineLevel="0" collapsed="false">
      <c r="A181" s="15" t="s">
        <v>53</v>
      </c>
      <c r="B181" s="15" t="s">
        <v>2059</v>
      </c>
      <c r="C181" s="15" t="s">
        <v>214</v>
      </c>
      <c r="D181" s="15" t="s">
        <v>81</v>
      </c>
      <c r="E181" s="20" t="s">
        <v>75</v>
      </c>
      <c r="F181" s="15" t="s">
        <v>2060</v>
      </c>
      <c r="G181" s="15" t="s">
        <v>2061</v>
      </c>
      <c r="H181" s="15" t="s">
        <v>1359</v>
      </c>
      <c r="I181" s="15" t="s">
        <v>2062</v>
      </c>
      <c r="J181" s="15" t="s">
        <v>1465</v>
      </c>
      <c r="K181" s="15" t="s">
        <v>2063</v>
      </c>
    </row>
    <row r="182" customFormat="false" ht="35.05" hidden="false" customHeight="false" outlineLevel="0" collapsed="false">
      <c r="A182" s="15" t="s">
        <v>53</v>
      </c>
      <c r="B182" s="15" t="s">
        <v>2064</v>
      </c>
      <c r="C182" s="15" t="s">
        <v>214</v>
      </c>
      <c r="D182" s="15" t="s">
        <v>81</v>
      </c>
      <c r="E182" s="19" t="s">
        <v>74</v>
      </c>
      <c r="F182" s="15" t="s">
        <v>2060</v>
      </c>
      <c r="G182" s="15" t="s">
        <v>2065</v>
      </c>
      <c r="H182" s="15" t="s">
        <v>1354</v>
      </c>
      <c r="I182" s="15" t="s">
        <v>2066</v>
      </c>
      <c r="J182" s="15" t="s">
        <v>1465</v>
      </c>
      <c r="K182" s="15" t="s">
        <v>2063</v>
      </c>
    </row>
    <row r="183" customFormat="false" ht="23.85" hidden="false" customHeight="false" outlineLevel="0" collapsed="false">
      <c r="A183" s="15" t="s">
        <v>53</v>
      </c>
      <c r="B183" s="15" t="s">
        <v>2067</v>
      </c>
      <c r="C183" s="15" t="s">
        <v>214</v>
      </c>
      <c r="D183" s="15" t="s">
        <v>81</v>
      </c>
      <c r="E183" s="16" t="s">
        <v>73</v>
      </c>
      <c r="F183" s="15" t="s">
        <v>2060</v>
      </c>
      <c r="G183" s="15" t="s">
        <v>2068</v>
      </c>
      <c r="H183" s="15" t="s">
        <v>1347</v>
      </c>
      <c r="I183" s="15" t="s">
        <v>2069</v>
      </c>
      <c r="J183" s="15" t="s">
        <v>1473</v>
      </c>
      <c r="K183" s="15" t="s">
        <v>2063</v>
      </c>
    </row>
    <row r="184" customFormat="false" ht="35.05" hidden="false" customHeight="false" outlineLevel="0" collapsed="false">
      <c r="A184" s="15" t="s">
        <v>53</v>
      </c>
      <c r="B184" s="15" t="s">
        <v>2070</v>
      </c>
      <c r="C184" s="15" t="s">
        <v>220</v>
      </c>
      <c r="D184" s="15" t="s">
        <v>81</v>
      </c>
      <c r="E184" s="20" t="s">
        <v>75</v>
      </c>
      <c r="F184" s="15" t="s">
        <v>2071</v>
      </c>
      <c r="G184" s="15" t="s">
        <v>2072</v>
      </c>
      <c r="H184" s="15" t="s">
        <v>1368</v>
      </c>
      <c r="I184" s="15" t="s">
        <v>2073</v>
      </c>
      <c r="J184" s="15" t="s">
        <v>1465</v>
      </c>
      <c r="K184" s="15" t="s">
        <v>2074</v>
      </c>
    </row>
    <row r="185" customFormat="false" ht="35.05" hidden="false" customHeight="false" outlineLevel="0" collapsed="false">
      <c r="A185" s="15" t="s">
        <v>53</v>
      </c>
      <c r="B185" s="15" t="s">
        <v>2075</v>
      </c>
      <c r="C185" s="15" t="s">
        <v>220</v>
      </c>
      <c r="D185" s="15" t="s">
        <v>81</v>
      </c>
      <c r="E185" s="19" t="s">
        <v>74</v>
      </c>
      <c r="F185" s="15" t="s">
        <v>2071</v>
      </c>
      <c r="G185" s="15" t="s">
        <v>2076</v>
      </c>
      <c r="H185" s="15" t="s">
        <v>1364</v>
      </c>
      <c r="I185" s="15" t="s">
        <v>2077</v>
      </c>
      <c r="J185" s="15" t="s">
        <v>1465</v>
      </c>
      <c r="K185" s="15" t="s">
        <v>2074</v>
      </c>
    </row>
    <row r="186" customFormat="false" ht="23.85" hidden="false" customHeight="false" outlineLevel="0" collapsed="false">
      <c r="A186" s="15" t="s">
        <v>53</v>
      </c>
      <c r="B186" s="15" t="s">
        <v>2078</v>
      </c>
      <c r="C186" s="15" t="s">
        <v>220</v>
      </c>
      <c r="D186" s="15" t="s">
        <v>81</v>
      </c>
      <c r="E186" s="16" t="s">
        <v>73</v>
      </c>
      <c r="F186" s="15" t="s">
        <v>2071</v>
      </c>
      <c r="G186" s="15" t="s">
        <v>2079</v>
      </c>
      <c r="H186" s="15" t="s">
        <v>1362</v>
      </c>
      <c r="I186" s="15" t="s">
        <v>2080</v>
      </c>
      <c r="J186" s="15" t="s">
        <v>1473</v>
      </c>
      <c r="K186" s="15" t="s">
        <v>2074</v>
      </c>
    </row>
    <row r="187" customFormat="false" ht="23.85" hidden="false" customHeight="false" outlineLevel="0" collapsed="false">
      <c r="A187" s="15" t="s">
        <v>53</v>
      </c>
      <c r="B187" s="15" t="s">
        <v>2081</v>
      </c>
      <c r="C187" s="15" t="s">
        <v>1371</v>
      </c>
      <c r="D187" s="15" t="s">
        <v>81</v>
      </c>
      <c r="E187" s="20" t="s">
        <v>75</v>
      </c>
      <c r="F187" s="15" t="s">
        <v>2082</v>
      </c>
      <c r="G187" s="15" t="s">
        <v>2083</v>
      </c>
      <c r="H187" s="15" t="s">
        <v>1385</v>
      </c>
      <c r="I187" s="15" t="s">
        <v>2084</v>
      </c>
      <c r="J187" s="15" t="s">
        <v>1465</v>
      </c>
      <c r="K187" s="15" t="s">
        <v>2085</v>
      </c>
    </row>
    <row r="188" customFormat="false" ht="23.85" hidden="false" customHeight="false" outlineLevel="0" collapsed="false">
      <c r="A188" s="15" t="s">
        <v>53</v>
      </c>
      <c r="B188" s="15" t="s">
        <v>2086</v>
      </c>
      <c r="C188" s="15" t="s">
        <v>1371</v>
      </c>
      <c r="D188" s="15" t="s">
        <v>81</v>
      </c>
      <c r="E188" s="19" t="s">
        <v>74</v>
      </c>
      <c r="F188" s="15" t="s">
        <v>2082</v>
      </c>
      <c r="G188" s="15" t="s">
        <v>2087</v>
      </c>
      <c r="H188" s="15" t="s">
        <v>1380</v>
      </c>
      <c r="I188" s="15" t="s">
        <v>2088</v>
      </c>
      <c r="J188" s="15" t="s">
        <v>1465</v>
      </c>
      <c r="K188" s="15" t="s">
        <v>2085</v>
      </c>
    </row>
    <row r="189" customFormat="false" ht="23.85" hidden="false" customHeight="false" outlineLevel="0" collapsed="false">
      <c r="A189" s="15" t="s">
        <v>53</v>
      </c>
      <c r="B189" s="15" t="s">
        <v>2089</v>
      </c>
      <c r="C189" s="15" t="s">
        <v>1371</v>
      </c>
      <c r="D189" s="15" t="s">
        <v>81</v>
      </c>
      <c r="E189" s="16" t="s">
        <v>73</v>
      </c>
      <c r="F189" s="15" t="s">
        <v>2082</v>
      </c>
      <c r="G189" s="15" t="s">
        <v>2090</v>
      </c>
      <c r="H189" s="15" t="s">
        <v>1375</v>
      </c>
      <c r="I189" s="15" t="s">
        <v>2091</v>
      </c>
      <c r="J189" s="15" t="s">
        <v>1473</v>
      </c>
      <c r="K189" s="15" t="s">
        <v>2085</v>
      </c>
    </row>
    <row r="190" customFormat="false" ht="35.05" hidden="false" customHeight="false" outlineLevel="0" collapsed="false">
      <c r="A190" s="15" t="s">
        <v>57</v>
      </c>
      <c r="B190" s="15" t="s">
        <v>2092</v>
      </c>
      <c r="C190" s="15" t="s">
        <v>2093</v>
      </c>
      <c r="D190" s="15" t="s">
        <v>1461</v>
      </c>
      <c r="E190" s="20" t="s">
        <v>75</v>
      </c>
      <c r="F190" s="15" t="s">
        <v>2094</v>
      </c>
      <c r="G190" s="15" t="s">
        <v>2095</v>
      </c>
      <c r="H190" s="15" t="s">
        <v>2096</v>
      </c>
      <c r="I190" s="15" t="s">
        <v>1464</v>
      </c>
      <c r="J190" s="15" t="s">
        <v>1465</v>
      </c>
      <c r="K190" s="15" t="s">
        <v>2097</v>
      </c>
    </row>
    <row r="191" customFormat="false" ht="35.05" hidden="false" customHeight="false" outlineLevel="0" collapsed="false">
      <c r="A191" s="15" t="s">
        <v>57</v>
      </c>
      <c r="B191" s="15" t="s">
        <v>2098</v>
      </c>
      <c r="C191" s="15" t="s">
        <v>2093</v>
      </c>
      <c r="D191" s="15" t="s">
        <v>1461</v>
      </c>
      <c r="E191" s="19" t="s">
        <v>74</v>
      </c>
      <c r="F191" s="15" t="s">
        <v>2094</v>
      </c>
      <c r="G191" s="15" t="s">
        <v>2099</v>
      </c>
      <c r="H191" s="15" t="s">
        <v>2100</v>
      </c>
      <c r="I191" s="15" t="s">
        <v>1469</v>
      </c>
      <c r="J191" s="15" t="s">
        <v>1465</v>
      </c>
      <c r="K191" s="15" t="s">
        <v>2097</v>
      </c>
    </row>
    <row r="192" customFormat="false" ht="23.85" hidden="false" customHeight="false" outlineLevel="0" collapsed="false">
      <c r="A192" s="15" t="s">
        <v>57</v>
      </c>
      <c r="B192" s="15" t="s">
        <v>2101</v>
      </c>
      <c r="C192" s="15" t="s">
        <v>2093</v>
      </c>
      <c r="D192" s="15" t="s">
        <v>1461</v>
      </c>
      <c r="E192" s="16" t="s">
        <v>73</v>
      </c>
      <c r="F192" s="15" t="s">
        <v>2094</v>
      </c>
      <c r="G192" s="15" t="s">
        <v>2102</v>
      </c>
      <c r="H192" s="15" t="s">
        <v>2103</v>
      </c>
      <c r="I192" s="15" t="s">
        <v>1472</v>
      </c>
      <c r="J192" s="15" t="s">
        <v>1473</v>
      </c>
      <c r="K192" s="15" t="s">
        <v>2097</v>
      </c>
    </row>
    <row r="193" customFormat="false" ht="35.05" hidden="false" customHeight="false" outlineLevel="0" collapsed="false">
      <c r="A193" s="15" t="s">
        <v>57</v>
      </c>
      <c r="B193" s="15" t="s">
        <v>2104</v>
      </c>
      <c r="C193" s="15" t="s">
        <v>225</v>
      </c>
      <c r="D193" s="15" t="s">
        <v>81</v>
      </c>
      <c r="E193" s="20" t="s">
        <v>75</v>
      </c>
      <c r="F193" s="15" t="s">
        <v>2105</v>
      </c>
      <c r="G193" s="15" t="s">
        <v>2106</v>
      </c>
      <c r="H193" s="15" t="s">
        <v>2107</v>
      </c>
      <c r="I193" s="15" t="s">
        <v>2108</v>
      </c>
      <c r="J193" s="15" t="s">
        <v>1465</v>
      </c>
      <c r="K193" s="15" t="s">
        <v>2109</v>
      </c>
    </row>
    <row r="194" customFormat="false" ht="35.05" hidden="false" customHeight="false" outlineLevel="0" collapsed="false">
      <c r="A194" s="15" t="s">
        <v>57</v>
      </c>
      <c r="B194" s="15" t="s">
        <v>2110</v>
      </c>
      <c r="C194" s="15" t="s">
        <v>225</v>
      </c>
      <c r="D194" s="15" t="s">
        <v>81</v>
      </c>
      <c r="E194" s="19" t="s">
        <v>74</v>
      </c>
      <c r="F194" s="15" t="s">
        <v>2105</v>
      </c>
      <c r="G194" s="15" t="s">
        <v>2111</v>
      </c>
      <c r="H194" s="15" t="s">
        <v>2112</v>
      </c>
      <c r="I194" s="15" t="s">
        <v>2113</v>
      </c>
      <c r="J194" s="15" t="s">
        <v>1465</v>
      </c>
      <c r="K194" s="15" t="s">
        <v>2109</v>
      </c>
    </row>
    <row r="195" customFormat="false" ht="35.05" hidden="false" customHeight="false" outlineLevel="0" collapsed="false">
      <c r="A195" s="15" t="s">
        <v>57</v>
      </c>
      <c r="B195" s="15" t="s">
        <v>2114</v>
      </c>
      <c r="C195" s="15" t="s">
        <v>225</v>
      </c>
      <c r="D195" s="15" t="s">
        <v>81</v>
      </c>
      <c r="E195" s="16" t="s">
        <v>73</v>
      </c>
      <c r="F195" s="15" t="s">
        <v>2105</v>
      </c>
      <c r="G195" s="15" t="s">
        <v>2115</v>
      </c>
      <c r="H195" s="15" t="s">
        <v>2116</v>
      </c>
      <c r="I195" s="15" t="s">
        <v>2117</v>
      </c>
      <c r="J195" s="15" t="s">
        <v>1473</v>
      </c>
      <c r="K195" s="15" t="s">
        <v>2109</v>
      </c>
    </row>
    <row r="196" customFormat="false" ht="23.85" hidden="false" customHeight="false" outlineLevel="0" collapsed="false">
      <c r="A196" s="15" t="s">
        <v>61</v>
      </c>
      <c r="B196" s="15" t="s">
        <v>2118</v>
      </c>
      <c r="C196" s="15" t="s">
        <v>240</v>
      </c>
      <c r="D196" s="15" t="s">
        <v>1461</v>
      </c>
      <c r="E196" s="20" t="s">
        <v>75</v>
      </c>
      <c r="F196" s="15" t="s">
        <v>2119</v>
      </c>
      <c r="G196" s="15" t="s">
        <v>2120</v>
      </c>
      <c r="H196" s="15" t="s">
        <v>1436</v>
      </c>
      <c r="I196" s="15" t="s">
        <v>1464</v>
      </c>
      <c r="J196" s="15" t="s">
        <v>1465</v>
      </c>
      <c r="K196" s="15" t="s">
        <v>2121</v>
      </c>
    </row>
    <row r="197" customFormat="false" ht="23.85" hidden="false" customHeight="false" outlineLevel="0" collapsed="false">
      <c r="A197" s="15" t="s">
        <v>61</v>
      </c>
      <c r="B197" s="15" t="s">
        <v>2122</v>
      </c>
      <c r="C197" s="15" t="s">
        <v>240</v>
      </c>
      <c r="D197" s="15" t="s">
        <v>1461</v>
      </c>
      <c r="E197" s="19" t="s">
        <v>74</v>
      </c>
      <c r="F197" s="15" t="s">
        <v>2119</v>
      </c>
      <c r="G197" s="15" t="s">
        <v>2123</v>
      </c>
      <c r="H197" s="15" t="s">
        <v>1431</v>
      </c>
      <c r="I197" s="15" t="s">
        <v>1469</v>
      </c>
      <c r="J197" s="15" t="s">
        <v>1465</v>
      </c>
      <c r="K197" s="15" t="s">
        <v>2121</v>
      </c>
    </row>
    <row r="198" customFormat="false" ht="23.85" hidden="false" customHeight="false" outlineLevel="0" collapsed="false">
      <c r="A198" s="15" t="s">
        <v>61</v>
      </c>
      <c r="B198" s="15" t="s">
        <v>2124</v>
      </c>
      <c r="C198" s="15" t="s">
        <v>240</v>
      </c>
      <c r="D198" s="15" t="s">
        <v>1461</v>
      </c>
      <c r="E198" s="16" t="s">
        <v>73</v>
      </c>
      <c r="F198" s="15" t="s">
        <v>2119</v>
      </c>
      <c r="G198" s="15" t="s">
        <v>2125</v>
      </c>
      <c r="H198" s="15" t="s">
        <v>1425</v>
      </c>
      <c r="I198" s="15" t="s">
        <v>1472</v>
      </c>
      <c r="J198" s="15" t="s">
        <v>1473</v>
      </c>
      <c r="K198" s="15" t="s">
        <v>2121</v>
      </c>
    </row>
    <row r="199" customFormat="false" ht="23.85" hidden="false" customHeight="false" outlineLevel="0" collapsed="false">
      <c r="A199" s="15" t="s">
        <v>61</v>
      </c>
      <c r="B199" s="15" t="s">
        <v>2126</v>
      </c>
      <c r="C199" s="15" t="s">
        <v>2127</v>
      </c>
      <c r="D199" s="15" t="s">
        <v>1461</v>
      </c>
      <c r="E199" s="20" t="s">
        <v>75</v>
      </c>
      <c r="F199" s="15" t="s">
        <v>2128</v>
      </c>
      <c r="G199" s="15" t="s">
        <v>2129</v>
      </c>
      <c r="H199" s="15" t="s">
        <v>1448</v>
      </c>
      <c r="I199" s="15" t="s">
        <v>1464</v>
      </c>
      <c r="J199" s="15" t="s">
        <v>1465</v>
      </c>
      <c r="K199" s="15" t="s">
        <v>2130</v>
      </c>
    </row>
    <row r="200" customFormat="false" ht="23.85" hidden="false" customHeight="false" outlineLevel="0" collapsed="false">
      <c r="A200" s="15" t="s">
        <v>61</v>
      </c>
      <c r="B200" s="15" t="s">
        <v>2131</v>
      </c>
      <c r="C200" s="15" t="s">
        <v>2127</v>
      </c>
      <c r="D200" s="15" t="s">
        <v>1461</v>
      </c>
      <c r="E200" s="19" t="s">
        <v>74</v>
      </c>
      <c r="F200" s="15" t="s">
        <v>2128</v>
      </c>
      <c r="G200" s="15" t="s">
        <v>2132</v>
      </c>
      <c r="H200" s="15" t="s">
        <v>1444</v>
      </c>
      <c r="I200" s="15" t="s">
        <v>1469</v>
      </c>
      <c r="J200" s="15" t="s">
        <v>1465</v>
      </c>
      <c r="K200" s="15" t="s">
        <v>2130</v>
      </c>
    </row>
    <row r="201" customFormat="false" ht="23.85" hidden="false" customHeight="false" outlineLevel="0" collapsed="false">
      <c r="A201" s="15" t="s">
        <v>61</v>
      </c>
      <c r="B201" s="15" t="s">
        <v>2133</v>
      </c>
      <c r="C201" s="15" t="s">
        <v>2127</v>
      </c>
      <c r="D201" s="15" t="s">
        <v>1461</v>
      </c>
      <c r="E201" s="16" t="s">
        <v>73</v>
      </c>
      <c r="F201" s="15" t="s">
        <v>2128</v>
      </c>
      <c r="G201" s="15" t="s">
        <v>2134</v>
      </c>
      <c r="H201" s="15" t="s">
        <v>1439</v>
      </c>
      <c r="I201" s="15" t="s">
        <v>1472</v>
      </c>
      <c r="J201" s="15" t="s">
        <v>1473</v>
      </c>
      <c r="K201" s="15" t="s">
        <v>2130</v>
      </c>
    </row>
    <row r="202" customFormat="false" ht="35.05" hidden="false" customHeight="false" outlineLevel="0" collapsed="false">
      <c r="A202" s="15" t="s">
        <v>61</v>
      </c>
      <c r="B202" s="15" t="s">
        <v>2135</v>
      </c>
      <c r="C202" s="15" t="s">
        <v>235</v>
      </c>
      <c r="D202" s="15" t="s">
        <v>81</v>
      </c>
      <c r="E202" s="20" t="s">
        <v>75</v>
      </c>
      <c r="F202" s="15" t="s">
        <v>2136</v>
      </c>
      <c r="G202" s="15" t="s">
        <v>2137</v>
      </c>
      <c r="H202" s="15" t="s">
        <v>2138</v>
      </c>
      <c r="I202" s="15" t="s">
        <v>2139</v>
      </c>
      <c r="J202" s="15" t="s">
        <v>1465</v>
      </c>
      <c r="K202" s="15" t="s">
        <v>2140</v>
      </c>
    </row>
    <row r="203" customFormat="false" ht="35.05" hidden="false" customHeight="false" outlineLevel="0" collapsed="false">
      <c r="A203" s="15" t="s">
        <v>61</v>
      </c>
      <c r="B203" s="15" t="s">
        <v>2141</v>
      </c>
      <c r="C203" s="15" t="s">
        <v>235</v>
      </c>
      <c r="D203" s="15" t="s">
        <v>81</v>
      </c>
      <c r="E203" s="19" t="s">
        <v>74</v>
      </c>
      <c r="F203" s="15" t="s">
        <v>2136</v>
      </c>
      <c r="G203" s="15" t="s">
        <v>2142</v>
      </c>
      <c r="H203" s="15" t="s">
        <v>2143</v>
      </c>
      <c r="I203" s="15" t="s">
        <v>2144</v>
      </c>
      <c r="J203" s="15" t="s">
        <v>1465</v>
      </c>
      <c r="K203" s="15" t="s">
        <v>2140</v>
      </c>
    </row>
    <row r="204" customFormat="false" ht="35.05" hidden="false" customHeight="false" outlineLevel="0" collapsed="false">
      <c r="A204" s="15" t="s">
        <v>61</v>
      </c>
      <c r="B204" s="15" t="s">
        <v>2145</v>
      </c>
      <c r="C204" s="15" t="s">
        <v>235</v>
      </c>
      <c r="D204" s="15" t="s">
        <v>81</v>
      </c>
      <c r="E204" s="16" t="s">
        <v>73</v>
      </c>
      <c r="F204" s="15" t="s">
        <v>2136</v>
      </c>
      <c r="G204" s="15" t="s">
        <v>2146</v>
      </c>
      <c r="H204" s="15" t="s">
        <v>2147</v>
      </c>
      <c r="I204" s="15" t="s">
        <v>2148</v>
      </c>
      <c r="J204" s="15" t="s">
        <v>1473</v>
      </c>
      <c r="K204" s="15" t="s">
        <v>2140</v>
      </c>
    </row>
    <row r="205" customFormat="false" ht="35.05" hidden="false" customHeight="false" outlineLevel="0" collapsed="false">
      <c r="A205" s="15" t="s">
        <v>61</v>
      </c>
      <c r="B205" s="15" t="s">
        <v>2149</v>
      </c>
      <c r="C205" s="15" t="s">
        <v>240</v>
      </c>
      <c r="D205" s="15" t="s">
        <v>81</v>
      </c>
      <c r="E205" s="20" t="s">
        <v>75</v>
      </c>
      <c r="F205" s="15" t="s">
        <v>2150</v>
      </c>
      <c r="G205" s="15" t="s">
        <v>2120</v>
      </c>
      <c r="H205" s="15" t="s">
        <v>1436</v>
      </c>
      <c r="I205" s="15" t="s">
        <v>2151</v>
      </c>
      <c r="J205" s="15" t="s">
        <v>1465</v>
      </c>
      <c r="K205" s="15" t="s">
        <v>2121</v>
      </c>
    </row>
    <row r="206" customFormat="false" ht="23.85" hidden="false" customHeight="false" outlineLevel="0" collapsed="false">
      <c r="A206" s="15" t="s">
        <v>61</v>
      </c>
      <c r="B206" s="15" t="s">
        <v>2152</v>
      </c>
      <c r="C206" s="15" t="s">
        <v>240</v>
      </c>
      <c r="D206" s="15" t="s">
        <v>81</v>
      </c>
      <c r="E206" s="19" t="s">
        <v>74</v>
      </c>
      <c r="F206" s="15" t="s">
        <v>2150</v>
      </c>
      <c r="G206" s="15" t="s">
        <v>2123</v>
      </c>
      <c r="H206" s="15" t="s">
        <v>1431</v>
      </c>
      <c r="I206" s="15" t="s">
        <v>2153</v>
      </c>
      <c r="J206" s="15" t="s">
        <v>1465</v>
      </c>
      <c r="K206" s="15" t="s">
        <v>2121</v>
      </c>
    </row>
    <row r="207" customFormat="false" ht="23.85" hidden="false" customHeight="false" outlineLevel="0" collapsed="false">
      <c r="A207" s="15" t="s">
        <v>61</v>
      </c>
      <c r="B207" s="15" t="s">
        <v>2154</v>
      </c>
      <c r="C207" s="15" t="s">
        <v>240</v>
      </c>
      <c r="D207" s="15" t="s">
        <v>81</v>
      </c>
      <c r="E207" s="16" t="s">
        <v>73</v>
      </c>
      <c r="F207" s="15" t="s">
        <v>2150</v>
      </c>
      <c r="G207" s="15" t="s">
        <v>2125</v>
      </c>
      <c r="H207" s="15" t="s">
        <v>1425</v>
      </c>
      <c r="I207" s="15" t="s">
        <v>2155</v>
      </c>
      <c r="J207" s="15" t="s">
        <v>1473</v>
      </c>
      <c r="K207" s="15" t="s">
        <v>2121</v>
      </c>
    </row>
  </sheetData>
  <autoFilter ref="A3:K2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36"/>
    <col collapsed="false" customWidth="true" hidden="false" outlineLevel="0" max="7" min="7" style="0" width="4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2156</v>
      </c>
    </row>
    <row r="3" customFormat="false" ht="42" hidden="false" customHeight="true" outlineLevel="0" collapsed="false">
      <c r="A3" s="14" t="s">
        <v>2157</v>
      </c>
      <c r="B3" s="14" t="s">
        <v>2158</v>
      </c>
      <c r="C3" s="14" t="s">
        <v>2159</v>
      </c>
      <c r="D3" s="14" t="s">
        <v>2160</v>
      </c>
      <c r="E3" s="14" t="s">
        <v>2161</v>
      </c>
      <c r="F3" s="14" t="s">
        <v>2162</v>
      </c>
      <c r="G3" s="14" t="s">
        <v>2163</v>
      </c>
      <c r="H3" s="14" t="s">
        <v>2164</v>
      </c>
      <c r="I3" s="14" t="s">
        <v>2165</v>
      </c>
      <c r="J3" s="14" t="s">
        <v>2166</v>
      </c>
    </row>
    <row r="4" customFormat="false" ht="23.85" hidden="false" customHeight="false" outlineLevel="0" collapsed="false">
      <c r="A4" s="15" t="s">
        <v>2167</v>
      </c>
      <c r="B4" s="15" t="s">
        <v>2168</v>
      </c>
      <c r="C4" s="15" t="s">
        <v>2169</v>
      </c>
      <c r="D4" s="15" t="s">
        <v>2170</v>
      </c>
      <c r="E4" s="15" t="s">
        <v>2171</v>
      </c>
      <c r="F4" s="15" t="s">
        <v>2172</v>
      </c>
      <c r="G4" s="15" t="s">
        <v>2173</v>
      </c>
      <c r="H4" s="15" t="s">
        <v>2174</v>
      </c>
      <c r="I4" s="15" t="s">
        <v>73</v>
      </c>
      <c r="J4" s="15" t="s">
        <v>2175</v>
      </c>
    </row>
    <row r="5" customFormat="false" ht="23.85" hidden="false" customHeight="false" outlineLevel="0" collapsed="false">
      <c r="A5" s="15" t="s">
        <v>2176</v>
      </c>
      <c r="B5" s="15" t="s">
        <v>2168</v>
      </c>
      <c r="C5" s="15" t="s">
        <v>2177</v>
      </c>
      <c r="D5" s="15" t="s">
        <v>2178</v>
      </c>
      <c r="E5" s="15" t="s">
        <v>2171</v>
      </c>
      <c r="F5" s="15" t="s">
        <v>2179</v>
      </c>
      <c r="G5" s="15" t="s">
        <v>2173</v>
      </c>
      <c r="H5" s="15" t="s">
        <v>2180</v>
      </c>
      <c r="I5" s="15" t="s">
        <v>73</v>
      </c>
      <c r="J5" s="15" t="s">
        <v>2181</v>
      </c>
    </row>
    <row r="6" customFormat="false" ht="23.85" hidden="false" customHeight="false" outlineLevel="0" collapsed="false">
      <c r="A6" s="15" t="s">
        <v>2182</v>
      </c>
      <c r="B6" s="15" t="s">
        <v>2168</v>
      </c>
      <c r="C6" s="15" t="s">
        <v>2183</v>
      </c>
      <c r="D6" s="15" t="s">
        <v>2184</v>
      </c>
      <c r="E6" s="15" t="s">
        <v>2171</v>
      </c>
      <c r="F6" s="15" t="s">
        <v>2185</v>
      </c>
      <c r="G6" s="15" t="s">
        <v>2173</v>
      </c>
      <c r="H6" s="15" t="s">
        <v>2186</v>
      </c>
      <c r="I6" s="15" t="s">
        <v>73</v>
      </c>
      <c r="J6" s="15" t="s">
        <v>2181</v>
      </c>
    </row>
    <row r="7" customFormat="false" ht="23.85" hidden="false" customHeight="false" outlineLevel="0" collapsed="false">
      <c r="A7" s="15" t="s">
        <v>2187</v>
      </c>
      <c r="B7" s="15" t="s">
        <v>2168</v>
      </c>
      <c r="C7" s="15" t="s">
        <v>2188</v>
      </c>
      <c r="D7" s="15" t="s">
        <v>2189</v>
      </c>
      <c r="E7" s="15" t="s">
        <v>2171</v>
      </c>
      <c r="F7" s="15" t="s">
        <v>2190</v>
      </c>
      <c r="G7" s="15" t="s">
        <v>2173</v>
      </c>
      <c r="H7" s="15" t="s">
        <v>2191</v>
      </c>
      <c r="I7" s="15" t="s">
        <v>73</v>
      </c>
      <c r="J7" s="15" t="s">
        <v>2181</v>
      </c>
    </row>
    <row r="8" customFormat="false" ht="23.85" hidden="false" customHeight="false" outlineLevel="0" collapsed="false">
      <c r="A8" s="15" t="s">
        <v>2192</v>
      </c>
      <c r="B8" s="15" t="s">
        <v>2168</v>
      </c>
      <c r="C8" s="15" t="s">
        <v>2193</v>
      </c>
      <c r="D8" s="15" t="s">
        <v>2194</v>
      </c>
      <c r="E8" s="15" t="s">
        <v>2171</v>
      </c>
      <c r="F8" s="15" t="s">
        <v>2195</v>
      </c>
      <c r="G8" s="15" t="s">
        <v>2173</v>
      </c>
      <c r="H8" s="15" t="s">
        <v>2196</v>
      </c>
      <c r="I8" s="15" t="s">
        <v>73</v>
      </c>
      <c r="J8" s="15" t="s">
        <v>2181</v>
      </c>
    </row>
    <row r="9" customFormat="false" ht="23.85" hidden="false" customHeight="false" outlineLevel="0" collapsed="false">
      <c r="A9" s="15" t="s">
        <v>2197</v>
      </c>
      <c r="B9" s="15" t="s">
        <v>2168</v>
      </c>
      <c r="C9" s="15" t="s">
        <v>2198</v>
      </c>
      <c r="D9" s="15" t="s">
        <v>2199</v>
      </c>
      <c r="E9" s="15" t="s">
        <v>2171</v>
      </c>
      <c r="F9" s="15" t="s">
        <v>2200</v>
      </c>
      <c r="G9" s="15" t="s">
        <v>2173</v>
      </c>
      <c r="H9" s="15" t="s">
        <v>2201</v>
      </c>
      <c r="I9" s="15" t="s">
        <v>73</v>
      </c>
      <c r="J9" s="15" t="s">
        <v>2181</v>
      </c>
    </row>
    <row r="10" customFormat="false" ht="23.85" hidden="false" customHeight="false" outlineLevel="0" collapsed="false">
      <c r="A10" s="15" t="s">
        <v>2202</v>
      </c>
      <c r="B10" s="15" t="s">
        <v>2168</v>
      </c>
      <c r="C10" s="15" t="s">
        <v>2203</v>
      </c>
      <c r="D10" s="15" t="s">
        <v>2204</v>
      </c>
      <c r="E10" s="15" t="s">
        <v>2171</v>
      </c>
      <c r="F10" s="15" t="s">
        <v>2205</v>
      </c>
      <c r="G10" s="15" t="s">
        <v>2173</v>
      </c>
      <c r="H10" s="15" t="s">
        <v>2206</v>
      </c>
      <c r="I10" s="15" t="s">
        <v>73</v>
      </c>
      <c r="J10" s="15" t="s">
        <v>2181</v>
      </c>
    </row>
    <row r="11" customFormat="false" ht="23.85" hidden="false" customHeight="false" outlineLevel="0" collapsed="false">
      <c r="A11" s="15" t="s">
        <v>2207</v>
      </c>
      <c r="B11" s="15" t="s">
        <v>2168</v>
      </c>
      <c r="C11" s="15" t="s">
        <v>2208</v>
      </c>
      <c r="D11" s="15" t="s">
        <v>2209</v>
      </c>
      <c r="E11" s="15" t="s">
        <v>2210</v>
      </c>
      <c r="F11" s="15" t="s">
        <v>2211</v>
      </c>
      <c r="G11" s="15" t="s">
        <v>2173</v>
      </c>
      <c r="H11" s="15" t="s">
        <v>2212</v>
      </c>
      <c r="I11" s="15" t="s">
        <v>73</v>
      </c>
      <c r="J11" s="15" t="s">
        <v>2181</v>
      </c>
    </row>
    <row r="12" customFormat="false" ht="23.85" hidden="false" customHeight="false" outlineLevel="0" collapsed="false">
      <c r="A12" s="15" t="s">
        <v>2213</v>
      </c>
      <c r="B12" s="15" t="s">
        <v>2168</v>
      </c>
      <c r="C12" s="15" t="s">
        <v>2214</v>
      </c>
      <c r="D12" s="15" t="s">
        <v>2215</v>
      </c>
      <c r="E12" s="15" t="s">
        <v>2171</v>
      </c>
      <c r="F12" s="15" t="s">
        <v>2216</v>
      </c>
      <c r="G12" s="15" t="s">
        <v>2173</v>
      </c>
      <c r="H12" s="15" t="s">
        <v>2217</v>
      </c>
      <c r="I12" s="15" t="s">
        <v>73</v>
      </c>
      <c r="J12" s="15" t="s">
        <v>2181</v>
      </c>
    </row>
    <row r="13" customFormat="false" ht="23.85" hidden="false" customHeight="false" outlineLevel="0" collapsed="false">
      <c r="A13" s="15" t="s">
        <v>2218</v>
      </c>
      <c r="B13" s="15" t="s">
        <v>2168</v>
      </c>
      <c r="C13" s="15" t="s">
        <v>2219</v>
      </c>
      <c r="D13" s="15" t="s">
        <v>2220</v>
      </c>
      <c r="E13" s="15" t="s">
        <v>2171</v>
      </c>
      <c r="F13" s="15" t="s">
        <v>2221</v>
      </c>
      <c r="G13" s="15" t="s">
        <v>2173</v>
      </c>
      <c r="H13" s="15" t="s">
        <v>2222</v>
      </c>
      <c r="I13" s="15" t="s">
        <v>73</v>
      </c>
      <c r="J13" s="15" t="s">
        <v>2181</v>
      </c>
    </row>
    <row r="14" customFormat="false" ht="23.85" hidden="false" customHeight="false" outlineLevel="0" collapsed="false">
      <c r="A14" s="15" t="s">
        <v>2223</v>
      </c>
      <c r="B14" s="15" t="s">
        <v>2168</v>
      </c>
      <c r="C14" s="15" t="s">
        <v>2224</v>
      </c>
      <c r="D14" s="15" t="s">
        <v>2225</v>
      </c>
      <c r="E14" s="15" t="s">
        <v>2171</v>
      </c>
      <c r="F14" s="15" t="s">
        <v>2226</v>
      </c>
      <c r="G14" s="15" t="s">
        <v>2173</v>
      </c>
      <c r="H14" s="15" t="s">
        <v>2227</v>
      </c>
      <c r="I14" s="15" t="s">
        <v>74</v>
      </c>
      <c r="J14" s="15" t="s">
        <v>2181</v>
      </c>
    </row>
    <row r="15" customFormat="false" ht="23.85" hidden="false" customHeight="false" outlineLevel="0" collapsed="false">
      <c r="A15" s="15" t="s">
        <v>2228</v>
      </c>
      <c r="B15" s="15" t="s">
        <v>2168</v>
      </c>
      <c r="C15" s="15" t="s">
        <v>2229</v>
      </c>
      <c r="D15" s="15" t="s">
        <v>2230</v>
      </c>
      <c r="E15" s="15" t="s">
        <v>2171</v>
      </c>
      <c r="F15" s="15" t="s">
        <v>2231</v>
      </c>
      <c r="G15" s="15" t="s">
        <v>2173</v>
      </c>
      <c r="H15" s="15" t="s">
        <v>2232</v>
      </c>
      <c r="I15" s="15" t="s">
        <v>73</v>
      </c>
      <c r="J15" s="15" t="s">
        <v>2233</v>
      </c>
    </row>
    <row r="16" customFormat="false" ht="23.85" hidden="false" customHeight="false" outlineLevel="0" collapsed="false">
      <c r="A16" s="15" t="s">
        <v>2234</v>
      </c>
      <c r="B16" s="15" t="s">
        <v>2235</v>
      </c>
      <c r="C16" s="15" t="s">
        <v>2236</v>
      </c>
      <c r="D16" s="15" t="s">
        <v>2237</v>
      </c>
      <c r="E16" s="15" t="s">
        <v>2171</v>
      </c>
      <c r="F16" s="15" t="s">
        <v>2238</v>
      </c>
      <c r="G16" s="15" t="s">
        <v>2173</v>
      </c>
      <c r="H16" s="15" t="s">
        <v>2239</v>
      </c>
      <c r="I16" s="15" t="s">
        <v>73</v>
      </c>
      <c r="J16" s="15" t="s">
        <v>2240</v>
      </c>
    </row>
    <row r="17" customFormat="false" ht="23.85" hidden="false" customHeight="false" outlineLevel="0" collapsed="false">
      <c r="A17" s="15" t="s">
        <v>2241</v>
      </c>
      <c r="B17" s="15" t="s">
        <v>2235</v>
      </c>
      <c r="C17" s="15" t="s">
        <v>2242</v>
      </c>
      <c r="D17" s="15" t="s">
        <v>2243</v>
      </c>
      <c r="E17" s="15" t="s">
        <v>2244</v>
      </c>
      <c r="F17" s="15" t="s">
        <v>2245</v>
      </c>
      <c r="G17" s="15" t="s">
        <v>2173</v>
      </c>
      <c r="H17" s="15" t="s">
        <v>2246</v>
      </c>
      <c r="I17" s="15" t="s">
        <v>73</v>
      </c>
      <c r="J17" s="15" t="s">
        <v>2247</v>
      </c>
    </row>
    <row r="18" customFormat="false" ht="23.85" hidden="false" customHeight="false" outlineLevel="0" collapsed="false">
      <c r="A18" s="15" t="s">
        <v>2248</v>
      </c>
      <c r="B18" s="15" t="s">
        <v>2235</v>
      </c>
      <c r="C18" s="15" t="s">
        <v>2249</v>
      </c>
      <c r="D18" s="15" t="s">
        <v>2250</v>
      </c>
      <c r="E18" s="15" t="s">
        <v>2171</v>
      </c>
      <c r="F18" s="15" t="s">
        <v>2251</v>
      </c>
      <c r="G18" s="15" t="s">
        <v>2173</v>
      </c>
      <c r="H18" s="15" t="s">
        <v>2252</v>
      </c>
      <c r="I18" s="15" t="s">
        <v>73</v>
      </c>
      <c r="J18" s="15" t="s">
        <v>2181</v>
      </c>
    </row>
    <row r="19" customFormat="false" ht="23.85" hidden="false" customHeight="false" outlineLevel="0" collapsed="false">
      <c r="A19" s="15" t="s">
        <v>2253</v>
      </c>
      <c r="B19" s="15" t="s">
        <v>2235</v>
      </c>
      <c r="C19" s="15" t="s">
        <v>2254</v>
      </c>
      <c r="D19" s="15" t="s">
        <v>2255</v>
      </c>
      <c r="E19" s="15" t="s">
        <v>2256</v>
      </c>
      <c r="F19" s="15" t="s">
        <v>2257</v>
      </c>
      <c r="G19" s="15" t="s">
        <v>2173</v>
      </c>
      <c r="H19" s="15" t="s">
        <v>2258</v>
      </c>
      <c r="I19" s="15" t="s">
        <v>74</v>
      </c>
      <c r="J19" s="15" t="s">
        <v>2181</v>
      </c>
    </row>
    <row r="20" customFormat="false" ht="23.85" hidden="false" customHeight="false" outlineLevel="0" collapsed="false">
      <c r="A20" s="15" t="s">
        <v>2259</v>
      </c>
      <c r="B20" s="15" t="s">
        <v>2235</v>
      </c>
      <c r="C20" s="15" t="s">
        <v>2260</v>
      </c>
      <c r="D20" s="15" t="s">
        <v>2261</v>
      </c>
      <c r="E20" s="15" t="s">
        <v>2256</v>
      </c>
      <c r="F20" s="15" t="s">
        <v>2262</v>
      </c>
      <c r="G20" s="15" t="s">
        <v>2173</v>
      </c>
      <c r="H20" s="15" t="s">
        <v>2263</v>
      </c>
      <c r="I20" s="15" t="s">
        <v>74</v>
      </c>
      <c r="J20" s="15" t="s">
        <v>2181</v>
      </c>
    </row>
    <row r="21" customFormat="false" ht="23.85" hidden="false" customHeight="false" outlineLevel="0" collapsed="false">
      <c r="A21" s="15" t="s">
        <v>2264</v>
      </c>
      <c r="B21" s="15" t="s">
        <v>2235</v>
      </c>
      <c r="C21" s="15" t="s">
        <v>2265</v>
      </c>
      <c r="D21" s="15" t="s">
        <v>2266</v>
      </c>
      <c r="E21" s="15" t="s">
        <v>2267</v>
      </c>
      <c r="F21" s="15" t="s">
        <v>2268</v>
      </c>
      <c r="G21" s="15" t="s">
        <v>2269</v>
      </c>
      <c r="H21" s="15" t="s">
        <v>2270</v>
      </c>
      <c r="I21" s="15" t="s">
        <v>73</v>
      </c>
      <c r="J21" s="15" t="s">
        <v>2271</v>
      </c>
    </row>
    <row r="22" customFormat="false" ht="23.85" hidden="false" customHeight="false" outlineLevel="0" collapsed="false">
      <c r="A22" s="15" t="s">
        <v>2272</v>
      </c>
      <c r="B22" s="15" t="s">
        <v>2273</v>
      </c>
      <c r="C22" s="15" t="s">
        <v>2274</v>
      </c>
      <c r="D22" s="15" t="s">
        <v>2275</v>
      </c>
      <c r="E22" s="15" t="s">
        <v>2276</v>
      </c>
      <c r="F22" s="15" t="s">
        <v>2277</v>
      </c>
      <c r="G22" s="15" t="s">
        <v>2269</v>
      </c>
      <c r="H22" s="15" t="s">
        <v>2278</v>
      </c>
      <c r="I22" s="15" t="s">
        <v>73</v>
      </c>
      <c r="J22" s="15" t="s">
        <v>2279</v>
      </c>
    </row>
    <row r="23" customFormat="false" ht="23.85" hidden="false" customHeight="false" outlineLevel="0" collapsed="false">
      <c r="A23" s="15" t="s">
        <v>2280</v>
      </c>
      <c r="B23" s="15" t="s">
        <v>2273</v>
      </c>
      <c r="C23" s="15" t="s">
        <v>2281</v>
      </c>
      <c r="D23" s="15" t="s">
        <v>2282</v>
      </c>
      <c r="E23" s="15" t="s">
        <v>2283</v>
      </c>
      <c r="F23" s="15" t="s">
        <v>2284</v>
      </c>
      <c r="G23" s="15" t="s">
        <v>2269</v>
      </c>
      <c r="H23" s="15" t="s">
        <v>2285</v>
      </c>
      <c r="I23" s="15" t="s">
        <v>73</v>
      </c>
      <c r="J23" s="15" t="s">
        <v>2279</v>
      </c>
    </row>
    <row r="24" customFormat="false" ht="23.85" hidden="false" customHeight="false" outlineLevel="0" collapsed="false">
      <c r="A24" s="15" t="s">
        <v>2286</v>
      </c>
      <c r="B24" s="15" t="s">
        <v>2273</v>
      </c>
      <c r="C24" s="15" t="s">
        <v>2287</v>
      </c>
      <c r="D24" s="15" t="s">
        <v>2288</v>
      </c>
      <c r="E24" s="15" t="s">
        <v>2289</v>
      </c>
      <c r="F24" s="15" t="s">
        <v>2290</v>
      </c>
      <c r="G24" s="15" t="s">
        <v>2269</v>
      </c>
      <c r="H24" s="15" t="s">
        <v>2291</v>
      </c>
      <c r="I24" s="15" t="s">
        <v>73</v>
      </c>
      <c r="J24" s="15" t="s">
        <v>2292</v>
      </c>
    </row>
    <row r="25" customFormat="false" ht="23.85" hidden="false" customHeight="false" outlineLevel="0" collapsed="false">
      <c r="A25" s="15" t="s">
        <v>2293</v>
      </c>
      <c r="B25" s="15" t="s">
        <v>2273</v>
      </c>
      <c r="C25" s="15" t="s">
        <v>2294</v>
      </c>
      <c r="D25" s="15" t="s">
        <v>2295</v>
      </c>
      <c r="E25" s="15" t="s">
        <v>2276</v>
      </c>
      <c r="F25" s="15" t="s">
        <v>2296</v>
      </c>
      <c r="G25" s="15" t="s">
        <v>2269</v>
      </c>
      <c r="H25" s="15" t="s">
        <v>2297</v>
      </c>
      <c r="I25" s="15" t="s">
        <v>74</v>
      </c>
      <c r="J25" s="15" t="s">
        <v>2298</v>
      </c>
    </row>
    <row r="26" customFormat="false" ht="23.85" hidden="false" customHeight="false" outlineLevel="0" collapsed="false">
      <c r="A26" s="15" t="s">
        <v>2299</v>
      </c>
      <c r="B26" s="15" t="s">
        <v>2273</v>
      </c>
      <c r="C26" s="15" t="s">
        <v>2300</v>
      </c>
      <c r="D26" s="15" t="s">
        <v>2301</v>
      </c>
      <c r="E26" s="15" t="s">
        <v>2276</v>
      </c>
      <c r="F26" s="15" t="s">
        <v>2302</v>
      </c>
      <c r="G26" s="15" t="s">
        <v>2269</v>
      </c>
      <c r="H26" s="15" t="s">
        <v>2303</v>
      </c>
      <c r="I26" s="15" t="s">
        <v>73</v>
      </c>
      <c r="J26" s="15" t="s">
        <v>2279</v>
      </c>
    </row>
    <row r="27" customFormat="false" ht="23.85" hidden="false" customHeight="false" outlineLevel="0" collapsed="false">
      <c r="A27" s="15" t="s">
        <v>2304</v>
      </c>
      <c r="B27" s="15" t="s">
        <v>2273</v>
      </c>
      <c r="C27" s="15" t="s">
        <v>2305</v>
      </c>
      <c r="D27" s="15" t="s">
        <v>2306</v>
      </c>
      <c r="E27" s="15" t="s">
        <v>2276</v>
      </c>
      <c r="F27" s="15" t="s">
        <v>2307</v>
      </c>
      <c r="G27" s="15" t="s">
        <v>2269</v>
      </c>
      <c r="H27" s="15" t="s">
        <v>2308</v>
      </c>
      <c r="I27" s="15" t="s">
        <v>74</v>
      </c>
      <c r="J27" s="15" t="s">
        <v>2309</v>
      </c>
    </row>
    <row r="28" customFormat="false" ht="23.85" hidden="false" customHeight="false" outlineLevel="0" collapsed="false">
      <c r="A28" s="15" t="s">
        <v>2310</v>
      </c>
      <c r="B28" s="15" t="s">
        <v>2273</v>
      </c>
      <c r="C28" s="15" t="s">
        <v>2311</v>
      </c>
      <c r="D28" s="15" t="s">
        <v>2312</v>
      </c>
      <c r="E28" s="15" t="s">
        <v>2276</v>
      </c>
      <c r="F28" s="15" t="s">
        <v>2313</v>
      </c>
      <c r="G28" s="15" t="s">
        <v>2269</v>
      </c>
      <c r="H28" s="15" t="s">
        <v>2314</v>
      </c>
      <c r="I28" s="15" t="s">
        <v>73</v>
      </c>
      <c r="J28" s="15" t="s">
        <v>2315</v>
      </c>
    </row>
    <row r="29" customFormat="false" ht="23.85" hidden="false" customHeight="false" outlineLevel="0" collapsed="false">
      <c r="A29" s="15" t="s">
        <v>2316</v>
      </c>
      <c r="B29" s="15" t="s">
        <v>2273</v>
      </c>
      <c r="C29" s="15" t="s">
        <v>2317</v>
      </c>
      <c r="D29" s="15" t="s">
        <v>2318</v>
      </c>
      <c r="E29" s="15" t="s">
        <v>2276</v>
      </c>
      <c r="F29" s="15" t="s">
        <v>2319</v>
      </c>
      <c r="G29" s="15" t="s">
        <v>2269</v>
      </c>
      <c r="H29" s="15" t="s">
        <v>2320</v>
      </c>
      <c r="I29" s="15" t="s">
        <v>74</v>
      </c>
      <c r="J29" s="15" t="s">
        <v>2279</v>
      </c>
    </row>
    <row r="30" customFormat="false" ht="15" hidden="false" customHeight="false" outlineLevel="0" collapsed="false">
      <c r="A30" s="15" t="s">
        <v>2321</v>
      </c>
      <c r="B30" s="15" t="s">
        <v>2273</v>
      </c>
      <c r="C30" s="15" t="s">
        <v>2322</v>
      </c>
      <c r="D30" s="15" t="s">
        <v>2323</v>
      </c>
      <c r="E30" s="15" t="s">
        <v>2276</v>
      </c>
      <c r="F30" s="15" t="s">
        <v>2324</v>
      </c>
      <c r="G30" s="15" t="s">
        <v>2269</v>
      </c>
      <c r="H30" s="15" t="s">
        <v>2325</v>
      </c>
      <c r="I30" s="15" t="s">
        <v>74</v>
      </c>
      <c r="J30" s="15" t="s">
        <v>2279</v>
      </c>
    </row>
    <row r="31" customFormat="false" ht="15" hidden="false" customHeight="false" outlineLevel="0" collapsed="false">
      <c r="A31" s="15" t="s">
        <v>2326</v>
      </c>
      <c r="B31" s="15" t="s">
        <v>2273</v>
      </c>
      <c r="C31" s="15" t="s">
        <v>2327</v>
      </c>
      <c r="D31" s="15" t="s">
        <v>2328</v>
      </c>
      <c r="E31" s="15" t="s">
        <v>2276</v>
      </c>
      <c r="F31" s="15" t="s">
        <v>2329</v>
      </c>
      <c r="G31" s="15" t="s">
        <v>2269</v>
      </c>
      <c r="H31" s="15" t="s">
        <v>2330</v>
      </c>
      <c r="I31" s="15" t="s">
        <v>74</v>
      </c>
      <c r="J31" s="15" t="s">
        <v>2279</v>
      </c>
    </row>
    <row r="32" customFormat="false" ht="35.05" hidden="false" customHeight="false" outlineLevel="0" collapsed="false">
      <c r="A32" s="15" t="s">
        <v>2331</v>
      </c>
      <c r="B32" s="15" t="s">
        <v>2273</v>
      </c>
      <c r="C32" s="15" t="s">
        <v>2332</v>
      </c>
      <c r="D32" s="15" t="s">
        <v>2333</v>
      </c>
      <c r="E32" s="15" t="s">
        <v>2334</v>
      </c>
      <c r="F32" s="15" t="s">
        <v>2335</v>
      </c>
      <c r="G32" s="15" t="s">
        <v>2336</v>
      </c>
      <c r="H32" s="15" t="s">
        <v>2337</v>
      </c>
      <c r="I32" s="15" t="s">
        <v>73</v>
      </c>
      <c r="J32" s="15" t="s">
        <v>2338</v>
      </c>
    </row>
    <row r="33" customFormat="false" ht="23.85" hidden="false" customHeight="false" outlineLevel="0" collapsed="false">
      <c r="A33" s="15" t="s">
        <v>2339</v>
      </c>
      <c r="B33" s="15" t="s">
        <v>2273</v>
      </c>
      <c r="C33" s="15" t="s">
        <v>2340</v>
      </c>
      <c r="D33" s="15" t="s">
        <v>2341</v>
      </c>
      <c r="E33" s="15" t="s">
        <v>2342</v>
      </c>
      <c r="F33" s="15" t="s">
        <v>2343</v>
      </c>
      <c r="G33" s="15" t="s">
        <v>2336</v>
      </c>
      <c r="H33" s="15" t="s">
        <v>2344</v>
      </c>
      <c r="I33" s="15" t="s">
        <v>74</v>
      </c>
      <c r="J33" s="15" t="s">
        <v>2345</v>
      </c>
    </row>
    <row r="34" customFormat="false" ht="23.85" hidden="false" customHeight="false" outlineLevel="0" collapsed="false">
      <c r="A34" s="15" t="s">
        <v>2346</v>
      </c>
      <c r="B34" s="15" t="s">
        <v>2273</v>
      </c>
      <c r="C34" s="15" t="s">
        <v>2347</v>
      </c>
      <c r="D34" s="15" t="s">
        <v>2348</v>
      </c>
      <c r="E34" s="15" t="s">
        <v>2349</v>
      </c>
      <c r="F34" s="15" t="s">
        <v>2350</v>
      </c>
      <c r="G34" s="15" t="s">
        <v>2269</v>
      </c>
      <c r="H34" s="15" t="s">
        <v>2351</v>
      </c>
      <c r="I34" s="15" t="s">
        <v>74</v>
      </c>
      <c r="J34" s="15" t="s">
        <v>2352</v>
      </c>
    </row>
    <row r="35" customFormat="false" ht="23.85" hidden="false" customHeight="false" outlineLevel="0" collapsed="false">
      <c r="A35" s="15" t="s">
        <v>2353</v>
      </c>
      <c r="B35" s="15" t="s">
        <v>2273</v>
      </c>
      <c r="C35" s="15" t="s">
        <v>2354</v>
      </c>
      <c r="D35" s="15" t="s">
        <v>2355</v>
      </c>
      <c r="E35" s="15" t="s">
        <v>2276</v>
      </c>
      <c r="F35" s="15" t="s">
        <v>2356</v>
      </c>
      <c r="G35" s="15" t="s">
        <v>2269</v>
      </c>
      <c r="H35" s="15" t="s">
        <v>2357</v>
      </c>
      <c r="I35" s="15" t="s">
        <v>73</v>
      </c>
      <c r="J35" s="15" t="s">
        <v>2279</v>
      </c>
    </row>
    <row r="36" customFormat="false" ht="23.85" hidden="false" customHeight="false" outlineLevel="0" collapsed="false">
      <c r="A36" s="15" t="s">
        <v>2358</v>
      </c>
      <c r="B36" s="15" t="s">
        <v>2273</v>
      </c>
      <c r="C36" s="15" t="s">
        <v>2359</v>
      </c>
      <c r="D36" s="15" t="s">
        <v>2360</v>
      </c>
      <c r="E36" s="15" t="s">
        <v>2276</v>
      </c>
      <c r="F36" s="15" t="s">
        <v>2361</v>
      </c>
      <c r="G36" s="15" t="s">
        <v>2269</v>
      </c>
      <c r="H36" s="15" t="s">
        <v>2362</v>
      </c>
      <c r="I36" s="15" t="s">
        <v>73</v>
      </c>
      <c r="J36" s="15" t="s">
        <v>2279</v>
      </c>
    </row>
    <row r="37" customFormat="false" ht="23.85" hidden="false" customHeight="false" outlineLevel="0" collapsed="false">
      <c r="A37" s="15" t="s">
        <v>2363</v>
      </c>
      <c r="B37" s="15" t="s">
        <v>2273</v>
      </c>
      <c r="C37" s="15" t="s">
        <v>2364</v>
      </c>
      <c r="D37" s="15" t="s">
        <v>2365</v>
      </c>
      <c r="E37" s="15" t="s">
        <v>2276</v>
      </c>
      <c r="F37" s="15" t="s">
        <v>2364</v>
      </c>
      <c r="G37" s="15" t="s">
        <v>2269</v>
      </c>
      <c r="H37" s="15" t="s">
        <v>2366</v>
      </c>
      <c r="I37" s="15" t="s">
        <v>74</v>
      </c>
      <c r="J37" s="15" t="s">
        <v>2367</v>
      </c>
    </row>
    <row r="38" customFormat="false" ht="23.85" hidden="false" customHeight="false" outlineLevel="0" collapsed="false">
      <c r="A38" s="15" t="s">
        <v>2368</v>
      </c>
      <c r="B38" s="15" t="s">
        <v>2273</v>
      </c>
      <c r="C38" s="15" t="s">
        <v>2369</v>
      </c>
      <c r="D38" s="15" t="s">
        <v>2370</v>
      </c>
      <c r="E38" s="15" t="s">
        <v>2276</v>
      </c>
      <c r="F38" s="15" t="s">
        <v>2371</v>
      </c>
      <c r="G38" s="15" t="s">
        <v>2269</v>
      </c>
      <c r="H38" s="15" t="s">
        <v>2372</v>
      </c>
      <c r="I38" s="15" t="s">
        <v>73</v>
      </c>
      <c r="J38" s="15" t="s">
        <v>2279</v>
      </c>
    </row>
    <row r="39" customFormat="false" ht="23.85" hidden="false" customHeight="false" outlineLevel="0" collapsed="false">
      <c r="A39" s="15" t="s">
        <v>2373</v>
      </c>
      <c r="B39" s="15" t="s">
        <v>2273</v>
      </c>
      <c r="C39" s="15" t="s">
        <v>2374</v>
      </c>
      <c r="D39" s="15" t="s">
        <v>2375</v>
      </c>
      <c r="E39" s="15" t="s">
        <v>2283</v>
      </c>
      <c r="F39" s="15" t="s">
        <v>2376</v>
      </c>
      <c r="G39" s="15" t="s">
        <v>2269</v>
      </c>
      <c r="H39" s="15" t="s">
        <v>2377</v>
      </c>
      <c r="I39" s="15" t="s">
        <v>74</v>
      </c>
      <c r="J39" s="15" t="s">
        <v>2279</v>
      </c>
    </row>
    <row r="40" customFormat="false" ht="23.85" hidden="false" customHeight="false" outlineLevel="0" collapsed="false">
      <c r="A40" s="15" t="s">
        <v>2378</v>
      </c>
      <c r="B40" s="15" t="s">
        <v>2273</v>
      </c>
      <c r="C40" s="15" t="s">
        <v>2379</v>
      </c>
      <c r="D40" s="15" t="s">
        <v>2380</v>
      </c>
      <c r="E40" s="15" t="s">
        <v>2349</v>
      </c>
      <c r="F40" s="15" t="s">
        <v>2381</v>
      </c>
      <c r="G40" s="15" t="s">
        <v>2269</v>
      </c>
      <c r="H40" s="15" t="s">
        <v>2382</v>
      </c>
      <c r="I40" s="15" t="s">
        <v>73</v>
      </c>
      <c r="J40" s="15" t="s">
        <v>2383</v>
      </c>
    </row>
    <row r="41" customFormat="false" ht="23.85" hidden="false" customHeight="false" outlineLevel="0" collapsed="false">
      <c r="A41" s="15" t="s">
        <v>2384</v>
      </c>
      <c r="B41" s="15" t="s">
        <v>2273</v>
      </c>
      <c r="C41" s="15" t="s">
        <v>2385</v>
      </c>
      <c r="D41" s="15" t="s">
        <v>2386</v>
      </c>
      <c r="E41" s="15" t="s">
        <v>2276</v>
      </c>
      <c r="F41" s="15" t="s">
        <v>2387</v>
      </c>
      <c r="G41" s="15" t="s">
        <v>2269</v>
      </c>
      <c r="H41" s="15" t="s">
        <v>2388</v>
      </c>
      <c r="I41" s="15" t="s">
        <v>73</v>
      </c>
      <c r="J41" s="15" t="s">
        <v>2279</v>
      </c>
    </row>
    <row r="42" customFormat="false" ht="23.85" hidden="false" customHeight="false" outlineLevel="0" collapsed="false">
      <c r="A42" s="15" t="s">
        <v>2389</v>
      </c>
      <c r="B42" s="15" t="s">
        <v>2390</v>
      </c>
      <c r="C42" s="15" t="s">
        <v>2391</v>
      </c>
      <c r="D42" s="15" t="s">
        <v>2392</v>
      </c>
      <c r="E42" s="15" t="s">
        <v>2276</v>
      </c>
      <c r="F42" s="15" t="s">
        <v>2393</v>
      </c>
      <c r="G42" s="15" t="s">
        <v>2269</v>
      </c>
      <c r="H42" s="15" t="s">
        <v>2394</v>
      </c>
      <c r="I42" s="15" t="s">
        <v>73</v>
      </c>
      <c r="J42" s="15" t="s">
        <v>2395</v>
      </c>
    </row>
    <row r="43" customFormat="false" ht="23.85" hidden="false" customHeight="false" outlineLevel="0" collapsed="false">
      <c r="A43" s="15" t="s">
        <v>2396</v>
      </c>
      <c r="B43" s="15" t="s">
        <v>2390</v>
      </c>
      <c r="C43" s="15" t="s">
        <v>2397</v>
      </c>
      <c r="D43" s="15" t="s">
        <v>2398</v>
      </c>
      <c r="E43" s="15" t="s">
        <v>2283</v>
      </c>
      <c r="F43" s="15" t="s">
        <v>2399</v>
      </c>
      <c r="G43" s="15" t="s">
        <v>2269</v>
      </c>
      <c r="H43" s="15" t="s">
        <v>2400</v>
      </c>
      <c r="I43" s="15" t="s">
        <v>73</v>
      </c>
      <c r="J43" s="15" t="s">
        <v>2401</v>
      </c>
    </row>
    <row r="44" customFormat="false" ht="23.85" hidden="false" customHeight="false" outlineLevel="0" collapsed="false">
      <c r="A44" s="15" t="s">
        <v>2402</v>
      </c>
      <c r="B44" s="15" t="s">
        <v>2390</v>
      </c>
      <c r="C44" s="15" t="s">
        <v>2403</v>
      </c>
      <c r="D44" s="15" t="s">
        <v>2404</v>
      </c>
      <c r="E44" s="15" t="s">
        <v>2276</v>
      </c>
      <c r="F44" s="15" t="s">
        <v>2405</v>
      </c>
      <c r="G44" s="15" t="s">
        <v>2269</v>
      </c>
      <c r="H44" s="15" t="s">
        <v>2406</v>
      </c>
      <c r="I44" s="15" t="s">
        <v>73</v>
      </c>
      <c r="J44" s="15" t="s">
        <v>2279</v>
      </c>
    </row>
    <row r="45" customFormat="false" ht="23.85" hidden="false" customHeight="false" outlineLevel="0" collapsed="false">
      <c r="A45" s="15" t="s">
        <v>2407</v>
      </c>
      <c r="B45" s="15" t="s">
        <v>2390</v>
      </c>
      <c r="C45" s="15" t="s">
        <v>2408</v>
      </c>
      <c r="D45" s="15" t="s">
        <v>2409</v>
      </c>
      <c r="E45" s="15" t="s">
        <v>2276</v>
      </c>
      <c r="F45" s="15" t="s">
        <v>2410</v>
      </c>
      <c r="G45" s="15" t="s">
        <v>2269</v>
      </c>
      <c r="H45" s="15" t="s">
        <v>2411</v>
      </c>
      <c r="I45" s="15" t="s">
        <v>73</v>
      </c>
      <c r="J45" s="15" t="s">
        <v>2412</v>
      </c>
    </row>
    <row r="46" customFormat="false" ht="23.85" hidden="false" customHeight="false" outlineLevel="0" collapsed="false">
      <c r="A46" s="15" t="s">
        <v>2413</v>
      </c>
      <c r="B46" s="15" t="s">
        <v>2390</v>
      </c>
      <c r="C46" s="15" t="s">
        <v>2414</v>
      </c>
      <c r="D46" s="15" t="s">
        <v>2415</v>
      </c>
      <c r="E46" s="15" t="s">
        <v>2416</v>
      </c>
      <c r="F46" s="15" t="s">
        <v>2417</v>
      </c>
      <c r="G46" s="15" t="s">
        <v>2269</v>
      </c>
      <c r="H46" s="15" t="s">
        <v>2418</v>
      </c>
      <c r="I46" s="15" t="s">
        <v>73</v>
      </c>
      <c r="J46" s="15" t="s">
        <v>2279</v>
      </c>
    </row>
    <row r="47" customFormat="false" ht="23.85" hidden="false" customHeight="false" outlineLevel="0" collapsed="false">
      <c r="A47" s="15" t="s">
        <v>2419</v>
      </c>
      <c r="B47" s="15" t="s">
        <v>2390</v>
      </c>
      <c r="C47" s="15" t="s">
        <v>2420</v>
      </c>
      <c r="D47" s="15" t="s">
        <v>2421</v>
      </c>
      <c r="E47" s="15" t="s">
        <v>2422</v>
      </c>
      <c r="F47" s="15" t="s">
        <v>2423</v>
      </c>
      <c r="G47" s="15" t="s">
        <v>2173</v>
      </c>
      <c r="H47" s="15" t="s">
        <v>2424</v>
      </c>
      <c r="I47" s="15" t="s">
        <v>73</v>
      </c>
      <c r="J47" s="15" t="s">
        <v>2425</v>
      </c>
    </row>
    <row r="48" customFormat="false" ht="23.85" hidden="false" customHeight="false" outlineLevel="0" collapsed="false">
      <c r="A48" s="15" t="s">
        <v>2426</v>
      </c>
      <c r="B48" s="15" t="s">
        <v>2390</v>
      </c>
      <c r="C48" s="15" t="s">
        <v>2427</v>
      </c>
      <c r="D48" s="15" t="s">
        <v>2428</v>
      </c>
      <c r="E48" s="15" t="s">
        <v>2276</v>
      </c>
      <c r="F48" s="15" t="s">
        <v>2429</v>
      </c>
      <c r="G48" s="15" t="s">
        <v>2269</v>
      </c>
      <c r="H48" s="15" t="s">
        <v>2430</v>
      </c>
      <c r="I48" s="15" t="s">
        <v>73</v>
      </c>
      <c r="J48" s="15" t="s">
        <v>2431</v>
      </c>
    </row>
    <row r="49" customFormat="false" ht="23.85" hidden="false" customHeight="false" outlineLevel="0" collapsed="false">
      <c r="A49" s="15" t="s">
        <v>2432</v>
      </c>
      <c r="B49" s="15" t="s">
        <v>2390</v>
      </c>
      <c r="C49" s="15" t="s">
        <v>2433</v>
      </c>
      <c r="D49" s="15" t="s">
        <v>2434</v>
      </c>
      <c r="E49" s="15" t="s">
        <v>2276</v>
      </c>
      <c r="F49" s="15" t="s">
        <v>2435</v>
      </c>
      <c r="G49" s="15" t="s">
        <v>2269</v>
      </c>
      <c r="H49" s="15" t="s">
        <v>2436</v>
      </c>
      <c r="I49" s="15" t="s">
        <v>73</v>
      </c>
      <c r="J49" s="15" t="s">
        <v>2279</v>
      </c>
    </row>
    <row r="50" customFormat="false" ht="23.85" hidden="false" customHeight="false" outlineLevel="0" collapsed="false">
      <c r="A50" s="15" t="s">
        <v>2437</v>
      </c>
      <c r="B50" s="15" t="s">
        <v>2390</v>
      </c>
      <c r="C50" s="15" t="s">
        <v>2438</v>
      </c>
      <c r="D50" s="15" t="s">
        <v>2439</v>
      </c>
      <c r="E50" s="15" t="s">
        <v>2440</v>
      </c>
      <c r="F50" s="15" t="s">
        <v>2441</v>
      </c>
      <c r="G50" s="15" t="s">
        <v>2269</v>
      </c>
      <c r="H50" s="15" t="s">
        <v>2442</v>
      </c>
      <c r="I50" s="15" t="s">
        <v>75</v>
      </c>
      <c r="J50" s="15" t="s">
        <v>2443</v>
      </c>
    </row>
    <row r="51" customFormat="false" ht="23.85" hidden="false" customHeight="false" outlineLevel="0" collapsed="false">
      <c r="A51" s="15" t="s">
        <v>2444</v>
      </c>
      <c r="B51" s="15" t="s">
        <v>2390</v>
      </c>
      <c r="C51" s="15" t="s">
        <v>2445</v>
      </c>
      <c r="D51" s="15" t="s">
        <v>2446</v>
      </c>
      <c r="E51" s="15" t="s">
        <v>2289</v>
      </c>
      <c r="F51" s="15" t="s">
        <v>2447</v>
      </c>
      <c r="G51" s="15" t="s">
        <v>2269</v>
      </c>
      <c r="H51" s="15" t="s">
        <v>2448</v>
      </c>
      <c r="I51" s="15" t="s">
        <v>75</v>
      </c>
      <c r="J51" s="15" t="s">
        <v>2449</v>
      </c>
    </row>
    <row r="52" customFormat="false" ht="23.85" hidden="false" customHeight="false" outlineLevel="0" collapsed="false">
      <c r="A52" s="15" t="s">
        <v>2450</v>
      </c>
      <c r="B52" s="15" t="s">
        <v>2451</v>
      </c>
      <c r="C52" s="15" t="s">
        <v>2452</v>
      </c>
      <c r="D52" s="15" t="s">
        <v>2453</v>
      </c>
      <c r="E52" s="15" t="s">
        <v>2244</v>
      </c>
      <c r="F52" s="15" t="s">
        <v>2454</v>
      </c>
      <c r="G52" s="15" t="s">
        <v>2173</v>
      </c>
      <c r="H52" s="15" t="s">
        <v>2455</v>
      </c>
      <c r="I52" s="15" t="s">
        <v>73</v>
      </c>
      <c r="J52" s="15" t="s">
        <v>2456</v>
      </c>
    </row>
    <row r="53" customFormat="false" ht="23.85" hidden="false" customHeight="false" outlineLevel="0" collapsed="false">
      <c r="A53" s="15" t="s">
        <v>2457</v>
      </c>
      <c r="B53" s="15" t="s">
        <v>2451</v>
      </c>
      <c r="C53" s="15" t="s">
        <v>2458</v>
      </c>
      <c r="D53" s="15" t="s">
        <v>2459</v>
      </c>
      <c r="E53" s="15" t="s">
        <v>2244</v>
      </c>
      <c r="F53" s="15" t="s">
        <v>2460</v>
      </c>
      <c r="G53" s="15" t="s">
        <v>2173</v>
      </c>
      <c r="H53" s="15" t="s">
        <v>2461</v>
      </c>
      <c r="I53" s="15" t="s">
        <v>73</v>
      </c>
      <c r="J53" s="15" t="s">
        <v>2456</v>
      </c>
    </row>
    <row r="54" customFormat="false" ht="23.85" hidden="false" customHeight="false" outlineLevel="0" collapsed="false">
      <c r="A54" s="15" t="s">
        <v>2462</v>
      </c>
      <c r="B54" s="15" t="s">
        <v>2451</v>
      </c>
      <c r="C54" s="15" t="s">
        <v>2463</v>
      </c>
      <c r="D54" s="15" t="s">
        <v>2464</v>
      </c>
      <c r="E54" s="15" t="s">
        <v>2465</v>
      </c>
      <c r="F54" s="15" t="s">
        <v>2466</v>
      </c>
      <c r="G54" s="15" t="s">
        <v>2173</v>
      </c>
      <c r="H54" s="15" t="s">
        <v>2467</v>
      </c>
      <c r="I54" s="15" t="s">
        <v>73</v>
      </c>
      <c r="J54" s="15" t="s">
        <v>2468</v>
      </c>
    </row>
    <row r="55" customFormat="false" ht="23.85" hidden="false" customHeight="false" outlineLevel="0" collapsed="false">
      <c r="A55" s="15" t="s">
        <v>2469</v>
      </c>
      <c r="B55" s="15" t="s">
        <v>2451</v>
      </c>
      <c r="C55" s="15" t="s">
        <v>2470</v>
      </c>
      <c r="D55" s="15" t="s">
        <v>2471</v>
      </c>
      <c r="E55" s="15" t="s">
        <v>2472</v>
      </c>
      <c r="F55" s="15" t="s">
        <v>2473</v>
      </c>
      <c r="G55" s="15" t="s">
        <v>2173</v>
      </c>
      <c r="H55" s="15" t="s">
        <v>2474</v>
      </c>
      <c r="I55" s="15" t="s">
        <v>74</v>
      </c>
      <c r="J55" s="15" t="s">
        <v>2475</v>
      </c>
    </row>
    <row r="56" customFormat="false" ht="23.85" hidden="false" customHeight="false" outlineLevel="0" collapsed="false">
      <c r="A56" s="15" t="s">
        <v>2476</v>
      </c>
      <c r="B56" s="15" t="s">
        <v>2451</v>
      </c>
      <c r="C56" s="15" t="s">
        <v>2477</v>
      </c>
      <c r="D56" s="15" t="s">
        <v>2478</v>
      </c>
      <c r="E56" s="15" t="s">
        <v>2267</v>
      </c>
      <c r="F56" s="15" t="s">
        <v>2479</v>
      </c>
      <c r="G56" s="15" t="s">
        <v>2269</v>
      </c>
      <c r="H56" s="15" t="s">
        <v>2480</v>
      </c>
      <c r="I56" s="15" t="s">
        <v>74</v>
      </c>
      <c r="J56" s="15" t="s">
        <v>2481</v>
      </c>
    </row>
    <row r="57" customFormat="false" ht="23.85" hidden="false" customHeight="false" outlineLevel="0" collapsed="false">
      <c r="A57" s="15" t="s">
        <v>2482</v>
      </c>
      <c r="B57" s="15" t="s">
        <v>2451</v>
      </c>
      <c r="C57" s="15" t="s">
        <v>2483</v>
      </c>
      <c r="D57" s="15" t="s">
        <v>2484</v>
      </c>
      <c r="E57" s="15" t="s">
        <v>2485</v>
      </c>
      <c r="F57" s="15" t="s">
        <v>2486</v>
      </c>
      <c r="G57" s="15" t="s">
        <v>2173</v>
      </c>
      <c r="H57" s="15" t="s">
        <v>2487</v>
      </c>
      <c r="I57" s="15" t="s">
        <v>358</v>
      </c>
      <c r="J57" s="15" t="s">
        <v>2488</v>
      </c>
    </row>
    <row r="58" customFormat="false" ht="23.85" hidden="false" customHeight="false" outlineLevel="0" collapsed="false">
      <c r="A58" s="15" t="s">
        <v>2489</v>
      </c>
      <c r="B58" s="15" t="s">
        <v>2451</v>
      </c>
      <c r="C58" s="15" t="s">
        <v>2490</v>
      </c>
      <c r="D58" s="15" t="s">
        <v>2491</v>
      </c>
      <c r="E58" s="15" t="s">
        <v>2465</v>
      </c>
      <c r="F58" s="15" t="s">
        <v>2492</v>
      </c>
      <c r="G58" s="15" t="s">
        <v>2173</v>
      </c>
      <c r="H58" s="15" t="s">
        <v>2493</v>
      </c>
      <c r="I58" s="15" t="s">
        <v>74</v>
      </c>
      <c r="J58" s="15" t="s">
        <v>2494</v>
      </c>
    </row>
    <row r="59" customFormat="false" ht="23.85" hidden="false" customHeight="false" outlineLevel="0" collapsed="false">
      <c r="A59" s="15" t="s">
        <v>2495</v>
      </c>
      <c r="B59" s="15" t="s">
        <v>2451</v>
      </c>
      <c r="C59" s="15" t="s">
        <v>2496</v>
      </c>
      <c r="D59" s="15" t="s">
        <v>2497</v>
      </c>
      <c r="E59" s="15" t="s">
        <v>2498</v>
      </c>
      <c r="F59" s="15" t="s">
        <v>2499</v>
      </c>
      <c r="G59" s="15" t="s">
        <v>2173</v>
      </c>
      <c r="H59" s="15" t="s">
        <v>2500</v>
      </c>
      <c r="I59" s="15" t="s">
        <v>74</v>
      </c>
      <c r="J59" s="15" t="s">
        <v>2501</v>
      </c>
    </row>
    <row r="60" customFormat="false" ht="23.85" hidden="false" customHeight="false" outlineLevel="0" collapsed="false">
      <c r="A60" s="15" t="s">
        <v>2502</v>
      </c>
      <c r="B60" s="15" t="s">
        <v>2451</v>
      </c>
      <c r="C60" s="15" t="s">
        <v>2503</v>
      </c>
      <c r="D60" s="15" t="s">
        <v>2504</v>
      </c>
      <c r="E60" s="15" t="s">
        <v>2505</v>
      </c>
      <c r="F60" s="15" t="s">
        <v>2506</v>
      </c>
      <c r="G60" s="15" t="s">
        <v>2507</v>
      </c>
      <c r="H60" s="15" t="s">
        <v>2508</v>
      </c>
      <c r="I60" s="15" t="s">
        <v>74</v>
      </c>
      <c r="J60" s="15" t="s">
        <v>2501</v>
      </c>
    </row>
    <row r="61" customFormat="false" ht="23.85" hidden="false" customHeight="false" outlineLevel="0" collapsed="false">
      <c r="A61" s="15" t="s">
        <v>2509</v>
      </c>
      <c r="B61" s="15" t="s">
        <v>2451</v>
      </c>
      <c r="C61" s="15" t="s">
        <v>2510</v>
      </c>
      <c r="D61" s="15" t="s">
        <v>2511</v>
      </c>
      <c r="E61" s="15" t="s">
        <v>2512</v>
      </c>
      <c r="F61" s="15" t="s">
        <v>2510</v>
      </c>
      <c r="G61" s="15" t="s">
        <v>2507</v>
      </c>
      <c r="H61" s="15" t="s">
        <v>2513</v>
      </c>
      <c r="I61" s="15" t="s">
        <v>74</v>
      </c>
      <c r="J61" s="15" t="s">
        <v>2501</v>
      </c>
    </row>
    <row r="62" customFormat="false" ht="23.85" hidden="false" customHeight="false" outlineLevel="0" collapsed="false">
      <c r="A62" s="15" t="s">
        <v>2514</v>
      </c>
      <c r="B62" s="15" t="s">
        <v>2451</v>
      </c>
      <c r="C62" s="15" t="s">
        <v>2515</v>
      </c>
      <c r="D62" s="15" t="s">
        <v>2516</v>
      </c>
      <c r="E62" s="15" t="s">
        <v>2517</v>
      </c>
      <c r="F62" s="15" t="s">
        <v>2518</v>
      </c>
      <c r="G62" s="15" t="s">
        <v>2173</v>
      </c>
      <c r="H62" s="15" t="s">
        <v>2519</v>
      </c>
      <c r="I62" s="15" t="s">
        <v>74</v>
      </c>
      <c r="J62" s="15" t="s">
        <v>2520</v>
      </c>
    </row>
    <row r="63" customFormat="false" ht="23.85" hidden="false" customHeight="false" outlineLevel="0" collapsed="false">
      <c r="A63" s="15" t="s">
        <v>2521</v>
      </c>
      <c r="B63" s="15" t="s">
        <v>2451</v>
      </c>
      <c r="C63" s="15" t="s">
        <v>2522</v>
      </c>
      <c r="D63" s="15" t="s">
        <v>2523</v>
      </c>
      <c r="E63" s="15" t="s">
        <v>2524</v>
      </c>
      <c r="F63" s="15" t="s">
        <v>2525</v>
      </c>
      <c r="G63" s="15" t="s">
        <v>2173</v>
      </c>
      <c r="H63" s="15" t="s">
        <v>2526</v>
      </c>
      <c r="I63" s="15" t="s">
        <v>74</v>
      </c>
      <c r="J63" s="15" t="s">
        <v>2527</v>
      </c>
    </row>
    <row r="64" customFormat="false" ht="23.85" hidden="false" customHeight="false" outlineLevel="0" collapsed="false">
      <c r="A64" s="15" t="s">
        <v>2528</v>
      </c>
      <c r="B64" s="15" t="s">
        <v>2451</v>
      </c>
      <c r="C64" s="15" t="s">
        <v>2529</v>
      </c>
      <c r="D64" s="15" t="s">
        <v>2530</v>
      </c>
      <c r="E64" s="15" t="s">
        <v>2531</v>
      </c>
      <c r="F64" s="15" t="s">
        <v>2532</v>
      </c>
      <c r="G64" s="15" t="s">
        <v>2173</v>
      </c>
      <c r="H64" s="15" t="s">
        <v>2533</v>
      </c>
      <c r="I64" s="15" t="s">
        <v>74</v>
      </c>
      <c r="J64" s="15" t="s">
        <v>2181</v>
      </c>
    </row>
    <row r="65" customFormat="false" ht="23.85" hidden="false" customHeight="false" outlineLevel="0" collapsed="false">
      <c r="A65" s="15" t="s">
        <v>2534</v>
      </c>
      <c r="B65" s="15" t="s">
        <v>2451</v>
      </c>
      <c r="C65" s="15" t="s">
        <v>2535</v>
      </c>
      <c r="D65" s="15" t="s">
        <v>2536</v>
      </c>
      <c r="E65" s="15" t="s">
        <v>2531</v>
      </c>
      <c r="F65" s="15" t="s">
        <v>2537</v>
      </c>
      <c r="G65" s="15" t="s">
        <v>2173</v>
      </c>
      <c r="H65" s="15" t="s">
        <v>2538</v>
      </c>
      <c r="I65" s="15" t="s">
        <v>74</v>
      </c>
      <c r="J65" s="15" t="s">
        <v>2181</v>
      </c>
    </row>
    <row r="66" customFormat="false" ht="23.85" hidden="false" customHeight="false" outlineLevel="0" collapsed="false">
      <c r="A66" s="15" t="s">
        <v>2539</v>
      </c>
      <c r="B66" s="15" t="s">
        <v>2451</v>
      </c>
      <c r="C66" s="15" t="s">
        <v>2540</v>
      </c>
      <c r="D66" s="15" t="s">
        <v>2541</v>
      </c>
      <c r="E66" s="15" t="s">
        <v>2465</v>
      </c>
      <c r="F66" s="15" t="s">
        <v>2542</v>
      </c>
      <c r="G66" s="15" t="s">
        <v>2173</v>
      </c>
      <c r="H66" s="15" t="s">
        <v>2543</v>
      </c>
      <c r="I66" s="15" t="s">
        <v>74</v>
      </c>
      <c r="J66" s="15" t="s">
        <v>2181</v>
      </c>
    </row>
    <row r="67" customFormat="false" ht="23.85" hidden="false" customHeight="false" outlineLevel="0" collapsed="false">
      <c r="A67" s="15" t="s">
        <v>2544</v>
      </c>
      <c r="B67" s="15" t="s">
        <v>2451</v>
      </c>
      <c r="C67" s="15" t="s">
        <v>2545</v>
      </c>
      <c r="D67" s="15" t="s">
        <v>2546</v>
      </c>
      <c r="E67" s="15" t="s">
        <v>2547</v>
      </c>
      <c r="F67" s="15" t="s">
        <v>2548</v>
      </c>
      <c r="G67" s="15" t="s">
        <v>2173</v>
      </c>
      <c r="H67" s="15" t="s">
        <v>2549</v>
      </c>
      <c r="I67" s="15" t="s">
        <v>74</v>
      </c>
      <c r="J67" s="15" t="s">
        <v>2550</v>
      </c>
    </row>
    <row r="68" customFormat="false" ht="23.85" hidden="false" customHeight="false" outlineLevel="0" collapsed="false">
      <c r="A68" s="15" t="s">
        <v>2551</v>
      </c>
      <c r="B68" s="15" t="s">
        <v>2451</v>
      </c>
      <c r="C68" s="15" t="s">
        <v>2552</v>
      </c>
      <c r="D68" s="15" t="s">
        <v>2553</v>
      </c>
      <c r="E68" s="15" t="s">
        <v>2554</v>
      </c>
      <c r="F68" s="15" t="s">
        <v>2555</v>
      </c>
      <c r="G68" s="15" t="s">
        <v>2173</v>
      </c>
      <c r="H68" s="15" t="s">
        <v>2556</v>
      </c>
      <c r="I68" s="15" t="s">
        <v>74</v>
      </c>
      <c r="J68" s="15" t="s">
        <v>2557</v>
      </c>
    </row>
    <row r="69" customFormat="false" ht="23.85" hidden="false" customHeight="false" outlineLevel="0" collapsed="false">
      <c r="A69" s="15" t="s">
        <v>2558</v>
      </c>
      <c r="B69" s="15" t="s">
        <v>2451</v>
      </c>
      <c r="C69" s="15" t="s">
        <v>2559</v>
      </c>
      <c r="D69" s="15" t="s">
        <v>2560</v>
      </c>
      <c r="E69" s="15" t="s">
        <v>2561</v>
      </c>
      <c r="F69" s="15" t="s">
        <v>2562</v>
      </c>
      <c r="G69" s="15" t="s">
        <v>2173</v>
      </c>
      <c r="H69" s="15" t="s">
        <v>2563</v>
      </c>
      <c r="I69" s="15" t="s">
        <v>74</v>
      </c>
      <c r="J69" s="15" t="s">
        <v>2564</v>
      </c>
    </row>
    <row r="70" customFormat="false" ht="23.85" hidden="false" customHeight="false" outlineLevel="0" collapsed="false">
      <c r="A70" s="15" t="s">
        <v>2565</v>
      </c>
      <c r="B70" s="15" t="s">
        <v>2566</v>
      </c>
      <c r="C70" s="15" t="s">
        <v>2567</v>
      </c>
      <c r="D70" s="15" t="s">
        <v>2568</v>
      </c>
      <c r="E70" s="15" t="s">
        <v>2569</v>
      </c>
      <c r="F70" s="15" t="s">
        <v>2570</v>
      </c>
      <c r="G70" s="15" t="s">
        <v>2173</v>
      </c>
      <c r="H70" s="15" t="s">
        <v>2571</v>
      </c>
      <c r="I70" s="15" t="s">
        <v>73</v>
      </c>
      <c r="J70" s="15" t="s">
        <v>2572</v>
      </c>
    </row>
    <row r="71" customFormat="false" ht="23.85" hidden="false" customHeight="false" outlineLevel="0" collapsed="false">
      <c r="A71" s="15" t="s">
        <v>2573</v>
      </c>
      <c r="B71" s="15" t="s">
        <v>2566</v>
      </c>
      <c r="C71" s="15" t="s">
        <v>2574</v>
      </c>
      <c r="D71" s="15" t="s">
        <v>2575</v>
      </c>
      <c r="E71" s="15" t="s">
        <v>2569</v>
      </c>
      <c r="F71" s="15" t="s">
        <v>2576</v>
      </c>
      <c r="G71" s="15" t="s">
        <v>2173</v>
      </c>
      <c r="H71" s="15" t="s">
        <v>2577</v>
      </c>
      <c r="I71" s="15" t="s">
        <v>74</v>
      </c>
      <c r="J71" s="15" t="s">
        <v>2578</v>
      </c>
    </row>
    <row r="72" customFormat="false" ht="23.85" hidden="false" customHeight="false" outlineLevel="0" collapsed="false">
      <c r="A72" s="15" t="s">
        <v>2579</v>
      </c>
      <c r="B72" s="15" t="s">
        <v>2566</v>
      </c>
      <c r="C72" s="15" t="s">
        <v>2580</v>
      </c>
      <c r="D72" s="15" t="s">
        <v>2581</v>
      </c>
      <c r="E72" s="15" t="s">
        <v>2582</v>
      </c>
      <c r="F72" s="15" t="s">
        <v>2583</v>
      </c>
      <c r="G72" s="15" t="s">
        <v>2173</v>
      </c>
      <c r="H72" s="15" t="s">
        <v>2584</v>
      </c>
      <c r="I72" s="15" t="s">
        <v>73</v>
      </c>
      <c r="J72" s="15" t="s">
        <v>2181</v>
      </c>
    </row>
    <row r="73" customFormat="false" ht="15" hidden="false" customHeight="false" outlineLevel="0" collapsed="false">
      <c r="A73" s="15" t="s">
        <v>2585</v>
      </c>
      <c r="B73" s="15" t="s">
        <v>2566</v>
      </c>
      <c r="C73" s="15" t="s">
        <v>2586</v>
      </c>
      <c r="D73" s="15" t="s">
        <v>2587</v>
      </c>
      <c r="E73" s="15" t="s">
        <v>2283</v>
      </c>
      <c r="F73" s="15" t="s">
        <v>2588</v>
      </c>
      <c r="G73" s="15" t="s">
        <v>2269</v>
      </c>
      <c r="H73" s="15" t="s">
        <v>2589</v>
      </c>
      <c r="I73" s="15" t="s">
        <v>73</v>
      </c>
      <c r="J73" s="15" t="s">
        <v>2279</v>
      </c>
    </row>
    <row r="74" customFormat="false" ht="23.85" hidden="false" customHeight="false" outlineLevel="0" collapsed="false">
      <c r="A74" s="15" t="s">
        <v>2590</v>
      </c>
      <c r="B74" s="15" t="s">
        <v>2566</v>
      </c>
      <c r="C74" s="15" t="s">
        <v>2591</v>
      </c>
      <c r="D74" s="15" t="s">
        <v>2592</v>
      </c>
      <c r="E74" s="15" t="s">
        <v>2569</v>
      </c>
      <c r="F74" s="15" t="s">
        <v>2593</v>
      </c>
      <c r="G74" s="15" t="s">
        <v>2173</v>
      </c>
      <c r="H74" s="15" t="s">
        <v>2594</v>
      </c>
      <c r="I74" s="15" t="s">
        <v>74</v>
      </c>
      <c r="J74" s="15" t="s">
        <v>2181</v>
      </c>
    </row>
    <row r="75" customFormat="false" ht="23.85" hidden="false" customHeight="false" outlineLevel="0" collapsed="false">
      <c r="A75" s="15" t="s">
        <v>2595</v>
      </c>
      <c r="B75" s="15" t="s">
        <v>2566</v>
      </c>
      <c r="C75" s="15" t="s">
        <v>2596</v>
      </c>
      <c r="D75" s="15" t="s">
        <v>2597</v>
      </c>
      <c r="E75" s="15" t="s">
        <v>2598</v>
      </c>
      <c r="F75" s="15" t="s">
        <v>2599</v>
      </c>
      <c r="G75" s="15" t="s">
        <v>2173</v>
      </c>
      <c r="H75" s="15" t="s">
        <v>2600</v>
      </c>
      <c r="I75" s="15" t="s">
        <v>74</v>
      </c>
      <c r="J75" s="15" t="s">
        <v>2181</v>
      </c>
    </row>
    <row r="76" customFormat="false" ht="23.85" hidden="false" customHeight="false" outlineLevel="0" collapsed="false">
      <c r="A76" s="15" t="s">
        <v>2601</v>
      </c>
      <c r="B76" s="15" t="s">
        <v>2566</v>
      </c>
      <c r="C76" s="15" t="s">
        <v>2602</v>
      </c>
      <c r="D76" s="15" t="s">
        <v>2603</v>
      </c>
      <c r="E76" s="15" t="s">
        <v>2604</v>
      </c>
      <c r="F76" s="15" t="s">
        <v>2605</v>
      </c>
      <c r="G76" s="15" t="s">
        <v>2606</v>
      </c>
      <c r="H76" s="15" t="s">
        <v>2607</v>
      </c>
      <c r="I76" s="15" t="s">
        <v>75</v>
      </c>
      <c r="J76" s="15" t="s">
        <v>2608</v>
      </c>
    </row>
    <row r="77" customFormat="false" ht="23.85" hidden="false" customHeight="false" outlineLevel="0" collapsed="false">
      <c r="A77" s="15" t="s">
        <v>2609</v>
      </c>
      <c r="B77" s="15" t="s">
        <v>2566</v>
      </c>
      <c r="C77" s="15" t="s">
        <v>2610</v>
      </c>
      <c r="D77" s="15" t="s">
        <v>2611</v>
      </c>
      <c r="E77" s="15" t="s">
        <v>2612</v>
      </c>
      <c r="F77" s="15" t="s">
        <v>2613</v>
      </c>
      <c r="G77" s="15" t="s">
        <v>2173</v>
      </c>
      <c r="H77" s="15" t="s">
        <v>2614</v>
      </c>
      <c r="I77" s="15" t="s">
        <v>75</v>
      </c>
      <c r="J77" s="15" t="s">
        <v>2615</v>
      </c>
    </row>
    <row r="78" customFormat="false" ht="23.85" hidden="false" customHeight="false" outlineLevel="0" collapsed="false">
      <c r="A78" s="15" t="s">
        <v>2616</v>
      </c>
      <c r="B78" s="15" t="s">
        <v>2566</v>
      </c>
      <c r="C78" s="15" t="s">
        <v>2617</v>
      </c>
      <c r="D78" s="15" t="s">
        <v>2618</v>
      </c>
      <c r="E78" s="15" t="s">
        <v>2619</v>
      </c>
      <c r="F78" s="15" t="s">
        <v>2620</v>
      </c>
      <c r="G78" s="15" t="s">
        <v>2336</v>
      </c>
      <c r="H78" s="15" t="s">
        <v>2621</v>
      </c>
      <c r="I78" s="15" t="s">
        <v>75</v>
      </c>
      <c r="J78" s="15" t="s">
        <v>2622</v>
      </c>
    </row>
    <row r="79" customFormat="false" ht="23.85" hidden="false" customHeight="false" outlineLevel="0" collapsed="false">
      <c r="A79" s="15" t="s">
        <v>2623</v>
      </c>
      <c r="B79" s="15" t="s">
        <v>2566</v>
      </c>
      <c r="C79" s="15" t="s">
        <v>2624</v>
      </c>
      <c r="D79" s="15" t="s">
        <v>2625</v>
      </c>
      <c r="E79" s="15" t="s">
        <v>2626</v>
      </c>
      <c r="F79" s="15" t="s">
        <v>2627</v>
      </c>
      <c r="G79" s="15" t="s">
        <v>2606</v>
      </c>
      <c r="H79" s="15" t="s">
        <v>2628</v>
      </c>
      <c r="I79" s="15" t="s">
        <v>75</v>
      </c>
      <c r="J79" s="15" t="s">
        <v>2629</v>
      </c>
    </row>
    <row r="80" customFormat="false" ht="23.85" hidden="false" customHeight="false" outlineLevel="0" collapsed="false">
      <c r="A80" s="15" t="s">
        <v>2630</v>
      </c>
      <c r="B80" s="15" t="s">
        <v>2566</v>
      </c>
      <c r="C80" s="15" t="s">
        <v>2631</v>
      </c>
      <c r="D80" s="15" t="s">
        <v>2632</v>
      </c>
      <c r="E80" s="15" t="s">
        <v>2598</v>
      </c>
      <c r="F80" s="15" t="s">
        <v>2633</v>
      </c>
      <c r="G80" s="15" t="s">
        <v>2173</v>
      </c>
      <c r="H80" s="15" t="s">
        <v>2634</v>
      </c>
      <c r="I80" s="15" t="s">
        <v>74</v>
      </c>
      <c r="J80" s="15" t="s">
        <v>2181</v>
      </c>
    </row>
    <row r="81" customFormat="false" ht="23.85" hidden="false" customHeight="false" outlineLevel="0" collapsed="false">
      <c r="A81" s="15" t="s">
        <v>2635</v>
      </c>
      <c r="B81" s="15" t="s">
        <v>2566</v>
      </c>
      <c r="C81" s="15" t="s">
        <v>2636</v>
      </c>
      <c r="D81" s="15" t="s">
        <v>2637</v>
      </c>
      <c r="E81" s="15" t="s">
        <v>2171</v>
      </c>
      <c r="F81" s="15" t="s">
        <v>2638</v>
      </c>
      <c r="G81" s="15" t="s">
        <v>2173</v>
      </c>
      <c r="H81" s="15" t="s">
        <v>2639</v>
      </c>
      <c r="I81" s="15" t="s">
        <v>74</v>
      </c>
      <c r="J81" s="15" t="s">
        <v>2181</v>
      </c>
    </row>
    <row r="82" customFormat="false" ht="23.85" hidden="false" customHeight="false" outlineLevel="0" collapsed="false">
      <c r="A82" s="15" t="s">
        <v>2640</v>
      </c>
      <c r="B82" s="15" t="s">
        <v>2641</v>
      </c>
      <c r="C82" s="15" t="s">
        <v>2642</v>
      </c>
      <c r="D82" s="15" t="s">
        <v>2643</v>
      </c>
      <c r="E82" s="15" t="s">
        <v>2276</v>
      </c>
      <c r="F82" s="15" t="s">
        <v>2644</v>
      </c>
      <c r="G82" s="15" t="s">
        <v>2269</v>
      </c>
      <c r="H82" s="15" t="s">
        <v>2645</v>
      </c>
      <c r="I82" s="15" t="s">
        <v>73</v>
      </c>
      <c r="J82" s="15" t="s">
        <v>2279</v>
      </c>
    </row>
    <row r="83" customFormat="false" ht="23.85" hidden="false" customHeight="false" outlineLevel="0" collapsed="false">
      <c r="A83" s="15" t="s">
        <v>2646</v>
      </c>
      <c r="B83" s="15" t="s">
        <v>2641</v>
      </c>
      <c r="C83" s="15" t="s">
        <v>2647</v>
      </c>
      <c r="D83" s="15" t="s">
        <v>2648</v>
      </c>
      <c r="E83" s="15" t="s">
        <v>2276</v>
      </c>
      <c r="F83" s="15" t="s">
        <v>2649</v>
      </c>
      <c r="G83" s="15" t="s">
        <v>2269</v>
      </c>
      <c r="H83" s="15" t="s">
        <v>2650</v>
      </c>
      <c r="I83" s="15" t="s">
        <v>73</v>
      </c>
      <c r="J83" s="15" t="s">
        <v>2651</v>
      </c>
    </row>
    <row r="84" customFormat="false" ht="23.85" hidden="false" customHeight="false" outlineLevel="0" collapsed="false">
      <c r="A84" s="15" t="s">
        <v>2652</v>
      </c>
      <c r="B84" s="15" t="s">
        <v>2641</v>
      </c>
      <c r="C84" s="15" t="s">
        <v>2653</v>
      </c>
      <c r="D84" s="15" t="s">
        <v>2654</v>
      </c>
      <c r="E84" s="15" t="s">
        <v>2276</v>
      </c>
      <c r="F84" s="15" t="s">
        <v>2655</v>
      </c>
      <c r="G84" s="15" t="s">
        <v>2269</v>
      </c>
      <c r="H84" s="15" t="s">
        <v>2656</v>
      </c>
      <c r="I84" s="15" t="s">
        <v>73</v>
      </c>
      <c r="J84" s="15" t="s">
        <v>2657</v>
      </c>
    </row>
    <row r="85" customFormat="false" ht="23.85" hidden="false" customHeight="false" outlineLevel="0" collapsed="false">
      <c r="A85" s="15" t="s">
        <v>2658</v>
      </c>
      <c r="B85" s="15" t="s">
        <v>2641</v>
      </c>
      <c r="C85" s="15" t="s">
        <v>2659</v>
      </c>
      <c r="D85" s="15" t="s">
        <v>2660</v>
      </c>
      <c r="E85" s="15" t="s">
        <v>2661</v>
      </c>
      <c r="F85" s="15" t="s">
        <v>2662</v>
      </c>
      <c r="G85" s="15" t="s">
        <v>2269</v>
      </c>
      <c r="H85" s="15" t="s">
        <v>2663</v>
      </c>
      <c r="I85" s="15" t="s">
        <v>74</v>
      </c>
      <c r="J85" s="15" t="s">
        <v>2279</v>
      </c>
    </row>
    <row r="86" customFormat="false" ht="23.85" hidden="false" customHeight="false" outlineLevel="0" collapsed="false">
      <c r="A86" s="15" t="s">
        <v>2664</v>
      </c>
      <c r="B86" s="15" t="s">
        <v>2641</v>
      </c>
      <c r="C86" s="15" t="s">
        <v>2665</v>
      </c>
      <c r="D86" s="15" t="s">
        <v>2666</v>
      </c>
      <c r="E86" s="15" t="s">
        <v>2667</v>
      </c>
      <c r="F86" s="15" t="s">
        <v>2668</v>
      </c>
      <c r="G86" s="15" t="s">
        <v>2269</v>
      </c>
      <c r="H86" s="15" t="s">
        <v>2669</v>
      </c>
      <c r="I86" s="15" t="s">
        <v>74</v>
      </c>
      <c r="J86" s="15" t="s">
        <v>2670</v>
      </c>
    </row>
    <row r="87" customFormat="false" ht="15" hidden="false" customHeight="false" outlineLevel="0" collapsed="false">
      <c r="A87" s="15" t="s">
        <v>2671</v>
      </c>
      <c r="B87" s="15" t="s">
        <v>2641</v>
      </c>
      <c r="C87" s="15" t="s">
        <v>2672</v>
      </c>
      <c r="D87" s="15" t="s">
        <v>2673</v>
      </c>
      <c r="E87" s="15" t="s">
        <v>2674</v>
      </c>
      <c r="F87" s="15" t="s">
        <v>2675</v>
      </c>
      <c r="G87" s="15" t="s">
        <v>2269</v>
      </c>
      <c r="H87" s="15" t="s">
        <v>2676</v>
      </c>
      <c r="I87" s="15" t="s">
        <v>74</v>
      </c>
      <c r="J87" s="15" t="s">
        <v>2279</v>
      </c>
    </row>
    <row r="88" customFormat="false" ht="23.85" hidden="false" customHeight="false" outlineLevel="0" collapsed="false">
      <c r="A88" s="15" t="s">
        <v>2677</v>
      </c>
      <c r="B88" s="15" t="s">
        <v>2641</v>
      </c>
      <c r="C88" s="15" t="s">
        <v>2678</v>
      </c>
      <c r="D88" s="15" t="s">
        <v>2679</v>
      </c>
      <c r="E88" s="15" t="s">
        <v>2171</v>
      </c>
      <c r="F88" s="15" t="s">
        <v>2680</v>
      </c>
      <c r="G88" s="15" t="s">
        <v>2173</v>
      </c>
      <c r="H88" s="15" t="s">
        <v>2681</v>
      </c>
      <c r="I88" s="15" t="s">
        <v>74</v>
      </c>
      <c r="J88" s="15" t="s">
        <v>2181</v>
      </c>
    </row>
    <row r="89" customFormat="false" ht="15" hidden="false" customHeight="false" outlineLevel="0" collapsed="false">
      <c r="A89" s="15" t="s">
        <v>2682</v>
      </c>
      <c r="B89" s="15" t="s">
        <v>2641</v>
      </c>
      <c r="C89" s="15" t="s">
        <v>2683</v>
      </c>
      <c r="D89" s="15" t="s">
        <v>2684</v>
      </c>
      <c r="E89" s="15" t="s">
        <v>2440</v>
      </c>
      <c r="F89" s="15" t="s">
        <v>2685</v>
      </c>
      <c r="G89" s="15" t="s">
        <v>2269</v>
      </c>
      <c r="H89" s="15" t="s">
        <v>2686</v>
      </c>
      <c r="I89" s="15" t="s">
        <v>74</v>
      </c>
      <c r="J89" s="15" t="s">
        <v>2279</v>
      </c>
    </row>
    <row r="90" customFormat="false" ht="23.85" hidden="false" customHeight="false" outlineLevel="0" collapsed="false">
      <c r="A90" s="15" t="s">
        <v>2687</v>
      </c>
      <c r="B90" s="15" t="s">
        <v>2641</v>
      </c>
      <c r="C90" s="15" t="s">
        <v>2688</v>
      </c>
      <c r="D90" s="15" t="s">
        <v>2689</v>
      </c>
      <c r="E90" s="15" t="s">
        <v>2276</v>
      </c>
      <c r="F90" s="15" t="s">
        <v>2690</v>
      </c>
      <c r="G90" s="15" t="s">
        <v>2269</v>
      </c>
      <c r="H90" s="15" t="s">
        <v>2691</v>
      </c>
      <c r="I90" s="15" t="s">
        <v>73</v>
      </c>
      <c r="J90" s="15" t="s">
        <v>2279</v>
      </c>
    </row>
    <row r="91" customFormat="false" ht="15" hidden="false" customHeight="false" outlineLevel="0" collapsed="false">
      <c r="A91" s="15" t="s">
        <v>2692</v>
      </c>
      <c r="B91" s="15" t="s">
        <v>2641</v>
      </c>
      <c r="C91" s="15" t="s">
        <v>2693</v>
      </c>
      <c r="D91" s="15" t="s">
        <v>2694</v>
      </c>
      <c r="E91" s="15" t="s">
        <v>2276</v>
      </c>
      <c r="F91" s="15" t="s">
        <v>2695</v>
      </c>
      <c r="G91" s="15" t="s">
        <v>2269</v>
      </c>
      <c r="H91" s="15" t="s">
        <v>2696</v>
      </c>
      <c r="I91" s="15" t="s">
        <v>73</v>
      </c>
      <c r="J91" s="15" t="s">
        <v>2279</v>
      </c>
    </row>
    <row r="92" customFormat="false" ht="23.85" hidden="false" customHeight="false" outlineLevel="0" collapsed="false">
      <c r="A92" s="15" t="s">
        <v>2697</v>
      </c>
      <c r="B92" s="15" t="s">
        <v>2641</v>
      </c>
      <c r="C92" s="15" t="s">
        <v>2698</v>
      </c>
      <c r="D92" s="15" t="s">
        <v>2699</v>
      </c>
      <c r="E92" s="15" t="s">
        <v>2276</v>
      </c>
      <c r="F92" s="15" t="s">
        <v>2700</v>
      </c>
      <c r="G92" s="15" t="s">
        <v>2269</v>
      </c>
      <c r="H92" s="15" t="s">
        <v>2701</v>
      </c>
      <c r="I92" s="15" t="s">
        <v>74</v>
      </c>
      <c r="J92" s="15" t="s">
        <v>2279</v>
      </c>
    </row>
    <row r="93" customFormat="false" ht="23.85" hidden="false" customHeight="false" outlineLevel="0" collapsed="false">
      <c r="A93" s="15" t="s">
        <v>2702</v>
      </c>
      <c r="B93" s="15" t="s">
        <v>2641</v>
      </c>
      <c r="C93" s="15" t="s">
        <v>2703</v>
      </c>
      <c r="D93" s="15" t="s">
        <v>2704</v>
      </c>
      <c r="E93" s="15" t="s">
        <v>2705</v>
      </c>
      <c r="F93" s="15" t="s">
        <v>2706</v>
      </c>
      <c r="G93" s="15" t="s">
        <v>2269</v>
      </c>
      <c r="H93" s="15" t="s">
        <v>2707</v>
      </c>
      <c r="I93" s="15" t="s">
        <v>73</v>
      </c>
      <c r="J93" s="15" t="s">
        <v>2708</v>
      </c>
    </row>
    <row r="94" customFormat="false" ht="23.85" hidden="false" customHeight="false" outlineLevel="0" collapsed="false">
      <c r="A94" s="15" t="s">
        <v>2709</v>
      </c>
      <c r="B94" s="15" t="s">
        <v>2641</v>
      </c>
      <c r="C94" s="15" t="s">
        <v>2710</v>
      </c>
      <c r="D94" s="15" t="s">
        <v>2711</v>
      </c>
      <c r="E94" s="15" t="s">
        <v>2712</v>
      </c>
      <c r="F94" s="15" t="s">
        <v>2713</v>
      </c>
      <c r="G94" s="15" t="s">
        <v>2269</v>
      </c>
      <c r="H94" s="15" t="s">
        <v>2714</v>
      </c>
      <c r="I94" s="15" t="s">
        <v>74</v>
      </c>
      <c r="J94" s="15" t="s">
        <v>2715</v>
      </c>
    </row>
    <row r="95" customFormat="false" ht="23.85" hidden="false" customHeight="false" outlineLevel="0" collapsed="false">
      <c r="A95" s="15" t="s">
        <v>2716</v>
      </c>
      <c r="B95" s="15" t="s">
        <v>2641</v>
      </c>
      <c r="C95" s="15" t="s">
        <v>2717</v>
      </c>
      <c r="D95" s="15" t="s">
        <v>2718</v>
      </c>
      <c r="E95" s="15" t="s">
        <v>2719</v>
      </c>
      <c r="F95" s="15" t="s">
        <v>2720</v>
      </c>
      <c r="G95" s="15" t="s">
        <v>2269</v>
      </c>
      <c r="H95" s="15" t="s">
        <v>2721</v>
      </c>
      <c r="I95" s="15" t="s">
        <v>75</v>
      </c>
      <c r="J95" s="15" t="s">
        <v>2722</v>
      </c>
    </row>
    <row r="96" customFormat="false" ht="23.85" hidden="false" customHeight="false" outlineLevel="0" collapsed="false">
      <c r="A96" s="15" t="s">
        <v>2723</v>
      </c>
      <c r="B96" s="15" t="s">
        <v>2641</v>
      </c>
      <c r="C96" s="15" t="s">
        <v>2724</v>
      </c>
      <c r="D96" s="15" t="s">
        <v>2725</v>
      </c>
      <c r="E96" s="15" t="s">
        <v>2276</v>
      </c>
      <c r="F96" s="15" t="s">
        <v>2726</v>
      </c>
      <c r="G96" s="15" t="s">
        <v>2269</v>
      </c>
      <c r="H96" s="15" t="s">
        <v>2727</v>
      </c>
      <c r="I96" s="15" t="s">
        <v>74</v>
      </c>
      <c r="J96" s="15" t="s">
        <v>2728</v>
      </c>
    </row>
    <row r="97" customFormat="false" ht="23.85" hidden="false" customHeight="false" outlineLevel="0" collapsed="false">
      <c r="A97" s="15" t="s">
        <v>2729</v>
      </c>
      <c r="B97" s="15" t="s">
        <v>2641</v>
      </c>
      <c r="C97" s="15" t="s">
        <v>2730</v>
      </c>
      <c r="D97" s="15" t="s">
        <v>2731</v>
      </c>
      <c r="E97" s="15" t="s">
        <v>2732</v>
      </c>
      <c r="F97" s="15" t="s">
        <v>2733</v>
      </c>
      <c r="G97" s="15" t="s">
        <v>2269</v>
      </c>
      <c r="H97" s="15" t="s">
        <v>2734</v>
      </c>
      <c r="I97" s="15" t="s">
        <v>75</v>
      </c>
      <c r="J97" s="15" t="s">
        <v>2735</v>
      </c>
    </row>
    <row r="98" customFormat="false" ht="35.05" hidden="false" customHeight="false" outlineLevel="0" collapsed="false">
      <c r="A98" s="15" t="s">
        <v>2736</v>
      </c>
      <c r="B98" s="15" t="s">
        <v>2641</v>
      </c>
      <c r="C98" s="15" t="s">
        <v>2737</v>
      </c>
      <c r="D98" s="15" t="s">
        <v>2738</v>
      </c>
      <c r="E98" s="15" t="s">
        <v>2276</v>
      </c>
      <c r="F98" s="15" t="s">
        <v>2739</v>
      </c>
      <c r="G98" s="15" t="s">
        <v>2269</v>
      </c>
      <c r="H98" s="15" t="s">
        <v>2740</v>
      </c>
      <c r="I98" s="15" t="s">
        <v>74</v>
      </c>
      <c r="J98" s="15" t="s">
        <v>2741</v>
      </c>
    </row>
    <row r="99" customFormat="false" ht="23.85" hidden="false" customHeight="false" outlineLevel="0" collapsed="false">
      <c r="A99" s="15" t="s">
        <v>2742</v>
      </c>
      <c r="B99" s="15" t="s">
        <v>2641</v>
      </c>
      <c r="C99" s="15" t="s">
        <v>2743</v>
      </c>
      <c r="D99" s="15" t="s">
        <v>2744</v>
      </c>
      <c r="E99" s="15" t="s">
        <v>2267</v>
      </c>
      <c r="F99" s="15" t="s">
        <v>2745</v>
      </c>
      <c r="G99" s="15" t="s">
        <v>2269</v>
      </c>
      <c r="H99" s="15" t="s">
        <v>2746</v>
      </c>
      <c r="I99" s="15" t="s">
        <v>73</v>
      </c>
      <c r="J99" s="15" t="s">
        <v>2747</v>
      </c>
    </row>
    <row r="100" customFormat="false" ht="23.85" hidden="false" customHeight="false" outlineLevel="0" collapsed="false">
      <c r="A100" s="15" t="s">
        <v>2748</v>
      </c>
      <c r="B100" s="15" t="s">
        <v>2641</v>
      </c>
      <c r="C100" s="15" t="s">
        <v>2749</v>
      </c>
      <c r="D100" s="15" t="s">
        <v>2750</v>
      </c>
      <c r="E100" s="15" t="s">
        <v>2276</v>
      </c>
      <c r="F100" s="15" t="s">
        <v>2751</v>
      </c>
      <c r="G100" s="15" t="s">
        <v>2269</v>
      </c>
      <c r="H100" s="15" t="s">
        <v>2752</v>
      </c>
      <c r="I100" s="15" t="s">
        <v>73</v>
      </c>
      <c r="J100" s="15" t="s">
        <v>2279</v>
      </c>
    </row>
    <row r="101" customFormat="false" ht="23.85" hidden="false" customHeight="false" outlineLevel="0" collapsed="false">
      <c r="A101" s="15" t="s">
        <v>2753</v>
      </c>
      <c r="B101" s="15" t="s">
        <v>2641</v>
      </c>
      <c r="C101" s="15" t="s">
        <v>196</v>
      </c>
      <c r="D101" s="15" t="s">
        <v>2754</v>
      </c>
      <c r="E101" s="15" t="s">
        <v>2755</v>
      </c>
      <c r="F101" s="15" t="s">
        <v>2756</v>
      </c>
      <c r="G101" s="15" t="s">
        <v>2269</v>
      </c>
      <c r="H101" s="15" t="s">
        <v>2757</v>
      </c>
      <c r="I101" s="15" t="s">
        <v>74</v>
      </c>
      <c r="J101" s="15" t="s">
        <v>2279</v>
      </c>
    </row>
    <row r="102" customFormat="false" ht="23.85" hidden="false" customHeight="false" outlineLevel="0" collapsed="false">
      <c r="A102" s="15" t="s">
        <v>2758</v>
      </c>
      <c r="B102" s="15" t="s">
        <v>2641</v>
      </c>
      <c r="C102" s="15" t="s">
        <v>190</v>
      </c>
      <c r="D102" s="15" t="s">
        <v>2759</v>
      </c>
      <c r="E102" s="15" t="s">
        <v>2755</v>
      </c>
      <c r="F102" s="15" t="s">
        <v>2760</v>
      </c>
      <c r="G102" s="15" t="s">
        <v>2269</v>
      </c>
      <c r="H102" s="15" t="s">
        <v>2761</v>
      </c>
      <c r="I102" s="15" t="s">
        <v>74</v>
      </c>
      <c r="J102" s="15" t="s">
        <v>2279</v>
      </c>
    </row>
    <row r="103" customFormat="false" ht="15" hidden="false" customHeight="false" outlineLevel="0" collapsed="false">
      <c r="A103" s="15" t="s">
        <v>2762</v>
      </c>
      <c r="B103" s="15" t="s">
        <v>2641</v>
      </c>
      <c r="C103" s="15" t="s">
        <v>2763</v>
      </c>
      <c r="D103" s="15" t="s">
        <v>2764</v>
      </c>
      <c r="E103" s="15" t="s">
        <v>2667</v>
      </c>
      <c r="F103" s="15" t="s">
        <v>2765</v>
      </c>
      <c r="G103" s="15" t="s">
        <v>2269</v>
      </c>
      <c r="H103" s="15" t="s">
        <v>2766</v>
      </c>
      <c r="I103" s="15" t="s">
        <v>74</v>
      </c>
      <c r="J103" s="15" t="s">
        <v>2279</v>
      </c>
    </row>
    <row r="104" customFormat="false" ht="23.85" hidden="false" customHeight="false" outlineLevel="0" collapsed="false">
      <c r="A104" s="15" t="s">
        <v>2767</v>
      </c>
      <c r="B104" s="15" t="s">
        <v>2641</v>
      </c>
      <c r="C104" s="15" t="s">
        <v>2768</v>
      </c>
      <c r="D104" s="15" t="s">
        <v>2769</v>
      </c>
      <c r="E104" s="15" t="s">
        <v>2674</v>
      </c>
      <c r="F104" s="15" t="s">
        <v>2770</v>
      </c>
      <c r="G104" s="15" t="s">
        <v>2269</v>
      </c>
      <c r="H104" s="15" t="s">
        <v>2771</v>
      </c>
      <c r="I104" s="15" t="s">
        <v>74</v>
      </c>
      <c r="J104" s="15" t="s">
        <v>2772</v>
      </c>
    </row>
    <row r="105" customFormat="false" ht="23.85" hidden="false" customHeight="false" outlineLevel="0" collapsed="false">
      <c r="A105" s="15" t="s">
        <v>2773</v>
      </c>
      <c r="B105" s="15" t="s">
        <v>2641</v>
      </c>
      <c r="C105" s="15" t="s">
        <v>2774</v>
      </c>
      <c r="D105" s="15" t="s">
        <v>2775</v>
      </c>
      <c r="E105" s="15" t="s">
        <v>2674</v>
      </c>
      <c r="F105" s="15" t="s">
        <v>2776</v>
      </c>
      <c r="G105" s="15" t="s">
        <v>2269</v>
      </c>
      <c r="H105" s="15" t="s">
        <v>2777</v>
      </c>
      <c r="I105" s="15" t="s">
        <v>73</v>
      </c>
      <c r="J105" s="15" t="s">
        <v>2778</v>
      </c>
    </row>
    <row r="106" customFormat="false" ht="23.85" hidden="false" customHeight="false" outlineLevel="0" collapsed="false">
      <c r="A106" s="15" t="s">
        <v>2779</v>
      </c>
      <c r="B106" s="15" t="s">
        <v>2641</v>
      </c>
      <c r="C106" s="15" t="s">
        <v>2780</v>
      </c>
      <c r="D106" s="15" t="s">
        <v>2781</v>
      </c>
      <c r="E106" s="15" t="s">
        <v>2674</v>
      </c>
      <c r="F106" s="15" t="s">
        <v>2782</v>
      </c>
      <c r="G106" s="15" t="s">
        <v>2269</v>
      </c>
      <c r="H106" s="15" t="s">
        <v>2783</v>
      </c>
      <c r="I106" s="15" t="s">
        <v>74</v>
      </c>
      <c r="J106" s="15" t="s">
        <v>2784</v>
      </c>
    </row>
    <row r="107" customFormat="false" ht="23.85" hidden="false" customHeight="false" outlineLevel="0" collapsed="false">
      <c r="A107" s="15" t="s">
        <v>2785</v>
      </c>
      <c r="B107" s="15" t="s">
        <v>2641</v>
      </c>
      <c r="C107" s="15" t="s">
        <v>2786</v>
      </c>
      <c r="D107" s="15" t="s">
        <v>2787</v>
      </c>
      <c r="E107" s="15" t="s">
        <v>2674</v>
      </c>
      <c r="F107" s="15" t="s">
        <v>2788</v>
      </c>
      <c r="G107" s="15" t="s">
        <v>2269</v>
      </c>
      <c r="H107" s="15" t="s">
        <v>2789</v>
      </c>
      <c r="I107" s="15" t="s">
        <v>73</v>
      </c>
      <c r="J107" s="15" t="s">
        <v>2790</v>
      </c>
    </row>
    <row r="108" customFormat="false" ht="23.85" hidden="false" customHeight="false" outlineLevel="0" collapsed="false">
      <c r="A108" s="15" t="s">
        <v>2791</v>
      </c>
      <c r="B108" s="15" t="s">
        <v>2641</v>
      </c>
      <c r="C108" s="15" t="s">
        <v>2792</v>
      </c>
      <c r="D108" s="15" t="s">
        <v>2793</v>
      </c>
      <c r="E108" s="15" t="s">
        <v>2276</v>
      </c>
      <c r="F108" s="15" t="s">
        <v>2794</v>
      </c>
      <c r="G108" s="15" t="s">
        <v>2269</v>
      </c>
      <c r="H108" s="15" t="s">
        <v>2795</v>
      </c>
      <c r="I108" s="15" t="s">
        <v>74</v>
      </c>
      <c r="J108" s="15" t="s">
        <v>2796</v>
      </c>
    </row>
    <row r="109" customFormat="false" ht="35.05" hidden="false" customHeight="false" outlineLevel="0" collapsed="false">
      <c r="A109" s="15" t="s">
        <v>2797</v>
      </c>
      <c r="B109" s="15" t="s">
        <v>2641</v>
      </c>
      <c r="C109" s="15" t="s">
        <v>2798</v>
      </c>
      <c r="D109" s="15" t="s">
        <v>2799</v>
      </c>
      <c r="E109" s="15" t="s">
        <v>2276</v>
      </c>
      <c r="F109" s="15" t="s">
        <v>2800</v>
      </c>
      <c r="G109" s="15" t="s">
        <v>2269</v>
      </c>
      <c r="H109" s="15" t="s">
        <v>2801</v>
      </c>
      <c r="I109" s="15" t="s">
        <v>73</v>
      </c>
      <c r="J109" s="15" t="s">
        <v>2802</v>
      </c>
    </row>
    <row r="110" customFormat="false" ht="23.85" hidden="false" customHeight="false" outlineLevel="0" collapsed="false">
      <c r="A110" s="15" t="s">
        <v>2803</v>
      </c>
      <c r="B110" s="15" t="s">
        <v>2641</v>
      </c>
      <c r="C110" s="15" t="s">
        <v>2804</v>
      </c>
      <c r="D110" s="15" t="s">
        <v>2805</v>
      </c>
      <c r="E110" s="15" t="s">
        <v>2276</v>
      </c>
      <c r="F110" s="15" t="s">
        <v>2806</v>
      </c>
      <c r="G110" s="15" t="s">
        <v>2269</v>
      </c>
      <c r="H110" s="15" t="s">
        <v>2807</v>
      </c>
      <c r="I110" s="15" t="s">
        <v>74</v>
      </c>
      <c r="J110" s="15" t="s">
        <v>2808</v>
      </c>
    </row>
    <row r="111" customFormat="false" ht="23.85" hidden="false" customHeight="false" outlineLevel="0" collapsed="false">
      <c r="A111" s="15" t="s">
        <v>2809</v>
      </c>
      <c r="B111" s="15" t="s">
        <v>2641</v>
      </c>
      <c r="C111" s="15" t="s">
        <v>2810</v>
      </c>
      <c r="D111" s="15" t="s">
        <v>2811</v>
      </c>
      <c r="E111" s="15" t="s">
        <v>2812</v>
      </c>
      <c r="F111" s="15" t="s">
        <v>2813</v>
      </c>
      <c r="G111" s="15" t="s">
        <v>2269</v>
      </c>
      <c r="H111" s="15" t="s">
        <v>2814</v>
      </c>
      <c r="I111" s="15" t="s">
        <v>75</v>
      </c>
      <c r="J111" s="15" t="s">
        <v>2815</v>
      </c>
    </row>
    <row r="112" customFormat="false" ht="23.85" hidden="false" customHeight="false" outlineLevel="0" collapsed="false">
      <c r="A112" s="15" t="s">
        <v>2816</v>
      </c>
      <c r="B112" s="15" t="s">
        <v>2817</v>
      </c>
      <c r="C112" s="15" t="s">
        <v>2818</v>
      </c>
      <c r="D112" s="15" t="s">
        <v>2819</v>
      </c>
      <c r="E112" s="15" t="s">
        <v>2820</v>
      </c>
      <c r="F112" s="15" t="s">
        <v>2821</v>
      </c>
      <c r="G112" s="15" t="s">
        <v>2507</v>
      </c>
      <c r="H112" s="15" t="s">
        <v>2822</v>
      </c>
      <c r="I112" s="15" t="s">
        <v>74</v>
      </c>
      <c r="J112" s="15" t="s">
        <v>2550</v>
      </c>
    </row>
    <row r="113" customFormat="false" ht="23.85" hidden="false" customHeight="false" outlineLevel="0" collapsed="false">
      <c r="A113" s="15" t="s">
        <v>2823</v>
      </c>
      <c r="B113" s="15" t="s">
        <v>2824</v>
      </c>
      <c r="C113" s="15" t="s">
        <v>2825</v>
      </c>
      <c r="D113" s="15" t="s">
        <v>2826</v>
      </c>
      <c r="E113" s="15" t="s">
        <v>2827</v>
      </c>
      <c r="F113" s="15" t="s">
        <v>2828</v>
      </c>
      <c r="G113" s="15" t="s">
        <v>2606</v>
      </c>
      <c r="H113" s="15" t="s">
        <v>2829</v>
      </c>
      <c r="I113" s="15" t="s">
        <v>74</v>
      </c>
      <c r="J113" s="15" t="s">
        <v>2830</v>
      </c>
    </row>
    <row r="114" customFormat="false" ht="15" hidden="false" customHeight="false" outlineLevel="0" collapsed="false">
      <c r="A114" s="15" t="s">
        <v>2831</v>
      </c>
      <c r="B114" s="15" t="s">
        <v>2817</v>
      </c>
      <c r="C114" s="15" t="s">
        <v>2832</v>
      </c>
      <c r="D114" s="15" t="s">
        <v>2833</v>
      </c>
      <c r="E114" s="15" t="s">
        <v>2834</v>
      </c>
      <c r="F114" s="15" t="s">
        <v>2835</v>
      </c>
      <c r="G114" s="15" t="s">
        <v>2507</v>
      </c>
      <c r="H114" s="15" t="s">
        <v>2836</v>
      </c>
      <c r="I114" s="15" t="s">
        <v>74</v>
      </c>
      <c r="J114" s="15" t="s">
        <v>2550</v>
      </c>
    </row>
    <row r="115" customFormat="false" ht="15" hidden="false" customHeight="false" outlineLevel="0" collapsed="false">
      <c r="A115" s="15" t="s">
        <v>2837</v>
      </c>
      <c r="B115" s="15" t="s">
        <v>2817</v>
      </c>
      <c r="C115" s="15" t="s">
        <v>2838</v>
      </c>
      <c r="D115" s="15" t="s">
        <v>2839</v>
      </c>
      <c r="E115" s="15" t="s">
        <v>2840</v>
      </c>
      <c r="F115" s="15" t="s">
        <v>2841</v>
      </c>
      <c r="G115" s="15" t="s">
        <v>2507</v>
      </c>
      <c r="H115" s="15" t="s">
        <v>2842</v>
      </c>
      <c r="I115" s="15" t="s">
        <v>74</v>
      </c>
      <c r="J115" s="15" t="s">
        <v>2550</v>
      </c>
    </row>
    <row r="116" customFormat="false" ht="23.85" hidden="false" customHeight="false" outlineLevel="0" collapsed="false">
      <c r="A116" s="15" t="s">
        <v>2843</v>
      </c>
      <c r="B116" s="15" t="s">
        <v>2824</v>
      </c>
      <c r="C116" s="15" t="s">
        <v>2844</v>
      </c>
      <c r="D116" s="15" t="s">
        <v>2845</v>
      </c>
      <c r="E116" s="15" t="s">
        <v>2834</v>
      </c>
      <c r="F116" s="15" t="s">
        <v>2846</v>
      </c>
      <c r="G116" s="15" t="s">
        <v>2507</v>
      </c>
      <c r="H116" s="15" t="s">
        <v>2847</v>
      </c>
      <c r="I116" s="15" t="s">
        <v>74</v>
      </c>
      <c r="J116" s="15" t="s">
        <v>2848</v>
      </c>
    </row>
    <row r="117" customFormat="false" ht="15" hidden="false" customHeight="false" outlineLevel="0" collapsed="false">
      <c r="A117" s="15" t="s">
        <v>2849</v>
      </c>
      <c r="B117" s="15" t="s">
        <v>2824</v>
      </c>
      <c r="C117" s="15" t="s">
        <v>2850</v>
      </c>
      <c r="D117" s="15" t="s">
        <v>2851</v>
      </c>
      <c r="E117" s="15" t="s">
        <v>2840</v>
      </c>
      <c r="F117" s="15" t="s">
        <v>2852</v>
      </c>
      <c r="G117" s="15" t="s">
        <v>2507</v>
      </c>
      <c r="H117" s="15" t="s">
        <v>2853</v>
      </c>
      <c r="I117" s="15" t="s">
        <v>75</v>
      </c>
      <c r="J117" s="15" t="s">
        <v>2854</v>
      </c>
    </row>
    <row r="118" customFormat="false" ht="15" hidden="false" customHeight="false" outlineLevel="0" collapsed="false">
      <c r="A118" s="15" t="s">
        <v>2855</v>
      </c>
      <c r="B118" s="15" t="s">
        <v>2856</v>
      </c>
      <c r="C118" s="15" t="s">
        <v>2857</v>
      </c>
      <c r="D118" s="15" t="s">
        <v>2858</v>
      </c>
      <c r="E118" s="15" t="s">
        <v>2840</v>
      </c>
      <c r="F118" s="15" t="s">
        <v>2859</v>
      </c>
      <c r="G118" s="15" t="s">
        <v>2507</v>
      </c>
      <c r="H118" s="15" t="s">
        <v>2860</v>
      </c>
      <c r="I118" s="15" t="s">
        <v>75</v>
      </c>
      <c r="J118" s="15" t="s">
        <v>2861</v>
      </c>
    </row>
    <row r="119" customFormat="false" ht="23.85" hidden="false" customHeight="false" outlineLevel="0" collapsed="false">
      <c r="A119" s="15" t="s">
        <v>2862</v>
      </c>
      <c r="B119" s="15" t="s">
        <v>2863</v>
      </c>
      <c r="C119" s="15" t="s">
        <v>2864</v>
      </c>
      <c r="D119" s="15" t="s">
        <v>2865</v>
      </c>
      <c r="E119" s="15" t="s">
        <v>2820</v>
      </c>
      <c r="F119" s="15" t="s">
        <v>2866</v>
      </c>
      <c r="G119" s="15" t="s">
        <v>2507</v>
      </c>
      <c r="H119" s="15" t="s">
        <v>2867</v>
      </c>
      <c r="I119" s="15" t="s">
        <v>75</v>
      </c>
      <c r="J119" s="15" t="s">
        <v>2868</v>
      </c>
    </row>
    <row r="120" customFormat="false" ht="23.85" hidden="false" customHeight="false" outlineLevel="0" collapsed="false">
      <c r="A120" s="15" t="s">
        <v>2869</v>
      </c>
      <c r="B120" s="15" t="s">
        <v>2863</v>
      </c>
      <c r="C120" s="15" t="s">
        <v>2870</v>
      </c>
      <c r="D120" s="15" t="s">
        <v>2871</v>
      </c>
      <c r="E120" s="15" t="s">
        <v>2820</v>
      </c>
      <c r="F120" s="15" t="s">
        <v>2872</v>
      </c>
      <c r="G120" s="15" t="s">
        <v>2507</v>
      </c>
      <c r="H120" s="15" t="s">
        <v>2873</v>
      </c>
      <c r="I120" s="15" t="s">
        <v>75</v>
      </c>
      <c r="J120" s="15" t="s">
        <v>2874</v>
      </c>
    </row>
    <row r="121" customFormat="false" ht="35.05" hidden="false" customHeight="false" outlineLevel="0" collapsed="false">
      <c r="A121" s="15" t="s">
        <v>2875</v>
      </c>
      <c r="B121" s="15" t="s">
        <v>2856</v>
      </c>
      <c r="C121" s="15" t="s">
        <v>2876</v>
      </c>
      <c r="D121" s="15" t="s">
        <v>2877</v>
      </c>
      <c r="E121" s="15" t="s">
        <v>2878</v>
      </c>
      <c r="F121" s="15" t="s">
        <v>2879</v>
      </c>
      <c r="G121" s="15" t="s">
        <v>2507</v>
      </c>
      <c r="H121" s="15" t="s">
        <v>2880</v>
      </c>
      <c r="I121" s="15" t="s">
        <v>75</v>
      </c>
      <c r="J121" s="15" t="s">
        <v>2881</v>
      </c>
    </row>
    <row r="122" customFormat="false" ht="23.85" hidden="false" customHeight="false" outlineLevel="0" collapsed="false">
      <c r="A122" s="15" t="s">
        <v>2882</v>
      </c>
      <c r="B122" s="15" t="s">
        <v>2883</v>
      </c>
      <c r="C122" s="15" t="s">
        <v>2884</v>
      </c>
      <c r="D122" s="15" t="s">
        <v>2885</v>
      </c>
      <c r="E122" s="15" t="s">
        <v>2886</v>
      </c>
      <c r="F122" s="15" t="s">
        <v>2887</v>
      </c>
      <c r="G122" s="15" t="s">
        <v>2507</v>
      </c>
      <c r="H122" s="15" t="s">
        <v>2888</v>
      </c>
      <c r="I122" s="15" t="s">
        <v>74</v>
      </c>
      <c r="J122" s="15" t="s">
        <v>2889</v>
      </c>
    </row>
    <row r="123" customFormat="false" ht="23.85" hidden="false" customHeight="false" outlineLevel="0" collapsed="false">
      <c r="A123" s="15" t="s">
        <v>2890</v>
      </c>
      <c r="B123" s="15" t="s">
        <v>2883</v>
      </c>
      <c r="C123" s="15" t="s">
        <v>2891</v>
      </c>
      <c r="D123" s="15" t="s">
        <v>2892</v>
      </c>
      <c r="E123" s="15" t="s">
        <v>2893</v>
      </c>
      <c r="F123" s="15" t="s">
        <v>2894</v>
      </c>
      <c r="G123" s="15" t="s">
        <v>2507</v>
      </c>
      <c r="H123" s="15" t="s">
        <v>2895</v>
      </c>
      <c r="I123" s="15" t="s">
        <v>73</v>
      </c>
      <c r="J123" s="15" t="s">
        <v>2896</v>
      </c>
    </row>
    <row r="124" customFormat="false" ht="23.85" hidden="false" customHeight="false" outlineLevel="0" collapsed="false">
      <c r="A124" s="15" t="s">
        <v>2897</v>
      </c>
      <c r="B124" s="15" t="s">
        <v>2883</v>
      </c>
      <c r="C124" s="15" t="s">
        <v>2898</v>
      </c>
      <c r="D124" s="15" t="s">
        <v>2899</v>
      </c>
      <c r="E124" s="15" t="s">
        <v>2900</v>
      </c>
      <c r="F124" s="15" t="s">
        <v>2901</v>
      </c>
      <c r="G124" s="15" t="s">
        <v>2507</v>
      </c>
      <c r="H124" s="15" t="s">
        <v>2902</v>
      </c>
      <c r="I124" s="15" t="s">
        <v>75</v>
      </c>
      <c r="J124" s="15" t="s">
        <v>2903</v>
      </c>
    </row>
    <row r="125" customFormat="false" ht="23.85" hidden="false" customHeight="false" outlineLevel="0" collapsed="false">
      <c r="A125" s="15" t="s">
        <v>2904</v>
      </c>
      <c r="B125" s="15" t="s">
        <v>2883</v>
      </c>
      <c r="C125" s="15" t="s">
        <v>2905</v>
      </c>
      <c r="D125" s="15" t="s">
        <v>2906</v>
      </c>
      <c r="E125" s="15" t="s">
        <v>2907</v>
      </c>
      <c r="F125" s="15" t="s">
        <v>2908</v>
      </c>
      <c r="G125" s="15" t="s">
        <v>2507</v>
      </c>
      <c r="H125" s="15" t="s">
        <v>2909</v>
      </c>
      <c r="I125" s="15" t="s">
        <v>75</v>
      </c>
      <c r="J125" s="15" t="s">
        <v>2910</v>
      </c>
    </row>
    <row r="126" customFormat="false" ht="23.85" hidden="false" customHeight="false" outlineLevel="0" collapsed="false">
      <c r="A126" s="15" t="s">
        <v>2911</v>
      </c>
      <c r="B126" s="15" t="s">
        <v>2883</v>
      </c>
      <c r="C126" s="15" t="s">
        <v>2912</v>
      </c>
      <c r="D126" s="15" t="s">
        <v>2913</v>
      </c>
      <c r="E126" s="15" t="s">
        <v>2914</v>
      </c>
      <c r="F126" s="15" t="s">
        <v>2915</v>
      </c>
      <c r="G126" s="15" t="s">
        <v>2507</v>
      </c>
      <c r="H126" s="15" t="s">
        <v>2916</v>
      </c>
      <c r="I126" s="15" t="s">
        <v>75</v>
      </c>
      <c r="J126" s="15" t="s">
        <v>2917</v>
      </c>
    </row>
    <row r="127" customFormat="false" ht="15" hidden="false" customHeight="false" outlineLevel="0" collapsed="false">
      <c r="A127" s="15" t="s">
        <v>2918</v>
      </c>
      <c r="B127" s="15" t="s">
        <v>2883</v>
      </c>
      <c r="C127" s="15" t="s">
        <v>2919</v>
      </c>
      <c r="D127" s="15" t="s">
        <v>2920</v>
      </c>
      <c r="E127" s="15" t="s">
        <v>2921</v>
      </c>
      <c r="F127" s="15" t="s">
        <v>2922</v>
      </c>
      <c r="G127" s="15" t="s">
        <v>2507</v>
      </c>
      <c r="H127" s="15" t="s">
        <v>2923</v>
      </c>
      <c r="I127" s="15" t="s">
        <v>75</v>
      </c>
      <c r="J127" s="15" t="s">
        <v>2924</v>
      </c>
    </row>
    <row r="128" customFormat="false" ht="23.85" hidden="false" customHeight="false" outlineLevel="0" collapsed="false">
      <c r="A128" s="15" t="s">
        <v>2925</v>
      </c>
      <c r="B128" s="15" t="s">
        <v>2883</v>
      </c>
      <c r="C128" s="15" t="s">
        <v>2926</v>
      </c>
      <c r="D128" s="15" t="s">
        <v>2927</v>
      </c>
      <c r="E128" s="15" t="s">
        <v>2928</v>
      </c>
      <c r="F128" s="15" t="s">
        <v>2929</v>
      </c>
      <c r="G128" s="15" t="s">
        <v>2507</v>
      </c>
      <c r="H128" s="15" t="s">
        <v>2930</v>
      </c>
      <c r="I128" s="15" t="s">
        <v>75</v>
      </c>
      <c r="J128" s="15" t="s">
        <v>2931</v>
      </c>
    </row>
    <row r="129" customFormat="false" ht="23.85" hidden="false" customHeight="false" outlineLevel="0" collapsed="false">
      <c r="A129" s="15" t="s">
        <v>2932</v>
      </c>
      <c r="B129" s="15" t="s">
        <v>2883</v>
      </c>
      <c r="C129" s="15" t="s">
        <v>2933</v>
      </c>
      <c r="D129" s="15" t="s">
        <v>2934</v>
      </c>
      <c r="E129" s="15" t="s">
        <v>2935</v>
      </c>
      <c r="F129" s="15" t="s">
        <v>2936</v>
      </c>
      <c r="G129" s="15" t="s">
        <v>2507</v>
      </c>
      <c r="H129" s="15" t="s">
        <v>2937</v>
      </c>
      <c r="I129" s="15" t="s">
        <v>75</v>
      </c>
      <c r="J129" s="15" t="s">
        <v>2938</v>
      </c>
    </row>
    <row r="130" customFormat="false" ht="15" hidden="false" customHeight="false" outlineLevel="0" collapsed="false">
      <c r="A130" s="15" t="s">
        <v>2939</v>
      </c>
      <c r="B130" s="15" t="s">
        <v>2883</v>
      </c>
      <c r="C130" s="15" t="s">
        <v>2940</v>
      </c>
      <c r="D130" s="15" t="s">
        <v>2941</v>
      </c>
      <c r="E130" s="15" t="s">
        <v>2942</v>
      </c>
      <c r="F130" s="15" t="s">
        <v>2943</v>
      </c>
      <c r="G130" s="15" t="s">
        <v>2507</v>
      </c>
      <c r="H130" s="15" t="s">
        <v>2944</v>
      </c>
      <c r="I130" s="15" t="s">
        <v>74</v>
      </c>
      <c r="J130" s="15" t="s">
        <v>2945</v>
      </c>
    </row>
    <row r="131" customFormat="false" ht="23.85" hidden="false" customHeight="false" outlineLevel="0" collapsed="false">
      <c r="A131" s="15" t="s">
        <v>2946</v>
      </c>
      <c r="B131" s="15" t="s">
        <v>2883</v>
      </c>
      <c r="C131" s="15" t="s">
        <v>2947</v>
      </c>
      <c r="D131" s="15" t="s">
        <v>2948</v>
      </c>
      <c r="E131" s="15" t="s">
        <v>2949</v>
      </c>
      <c r="F131" s="15" t="s">
        <v>2950</v>
      </c>
      <c r="G131" s="15" t="s">
        <v>2951</v>
      </c>
      <c r="H131" s="15" t="s">
        <v>2952</v>
      </c>
      <c r="I131" s="15" t="s">
        <v>2953</v>
      </c>
      <c r="J131" s="15" t="s">
        <v>2954</v>
      </c>
    </row>
    <row r="132" customFormat="false" ht="15" hidden="false" customHeight="false" outlineLevel="0" collapsed="false">
      <c r="A132" s="15" t="s">
        <v>2955</v>
      </c>
      <c r="B132" s="15" t="s">
        <v>2883</v>
      </c>
      <c r="C132" s="15" t="s">
        <v>2956</v>
      </c>
      <c r="D132" s="15" t="s">
        <v>2957</v>
      </c>
      <c r="E132" s="15" t="s">
        <v>2900</v>
      </c>
      <c r="F132" s="15" t="s">
        <v>2958</v>
      </c>
      <c r="G132" s="15" t="s">
        <v>2507</v>
      </c>
      <c r="H132" s="15" t="s">
        <v>2873</v>
      </c>
      <c r="I132" s="15" t="s">
        <v>2953</v>
      </c>
      <c r="J132" s="15" t="s">
        <v>2959</v>
      </c>
    </row>
    <row r="133" customFormat="false" ht="15" hidden="false" customHeight="false" outlineLevel="0" collapsed="false">
      <c r="A133" s="15" t="s">
        <v>2960</v>
      </c>
      <c r="B133" s="15" t="s">
        <v>2883</v>
      </c>
      <c r="C133" s="15" t="s">
        <v>2961</v>
      </c>
      <c r="D133" s="15" t="s">
        <v>2962</v>
      </c>
      <c r="E133" s="15" t="s">
        <v>2840</v>
      </c>
      <c r="F133" s="15" t="s">
        <v>2963</v>
      </c>
      <c r="G133" s="15" t="s">
        <v>2507</v>
      </c>
      <c r="H133" s="15" t="s">
        <v>2964</v>
      </c>
      <c r="I133" s="15" t="s">
        <v>2953</v>
      </c>
      <c r="J133" s="15" t="s">
        <v>2965</v>
      </c>
    </row>
    <row r="134" customFormat="false" ht="15" hidden="false" customHeight="false" outlineLevel="0" collapsed="false">
      <c r="A134" s="15" t="s">
        <v>2966</v>
      </c>
      <c r="B134" s="15" t="s">
        <v>2883</v>
      </c>
      <c r="C134" s="15" t="s">
        <v>2967</v>
      </c>
      <c r="D134" s="15" t="s">
        <v>2968</v>
      </c>
      <c r="E134" s="15" t="s">
        <v>2949</v>
      </c>
      <c r="F134" s="15" t="s">
        <v>2969</v>
      </c>
      <c r="G134" s="15" t="s">
        <v>2951</v>
      </c>
      <c r="H134" s="15" t="s">
        <v>2970</v>
      </c>
      <c r="I134" s="15" t="s">
        <v>2953</v>
      </c>
      <c r="J134" s="15" t="s">
        <v>2965</v>
      </c>
    </row>
    <row r="135" customFormat="false" ht="23.85" hidden="false" customHeight="false" outlineLevel="0" collapsed="false">
      <c r="A135" s="15" t="s">
        <v>2971</v>
      </c>
      <c r="B135" s="15" t="s">
        <v>2972</v>
      </c>
      <c r="C135" s="15" t="s">
        <v>2973</v>
      </c>
      <c r="D135" s="15" t="s">
        <v>2974</v>
      </c>
      <c r="E135" s="15" t="s">
        <v>2975</v>
      </c>
      <c r="F135" s="15" t="s">
        <v>2976</v>
      </c>
      <c r="G135" s="15" t="s">
        <v>2951</v>
      </c>
      <c r="H135" s="15" t="s">
        <v>2977</v>
      </c>
      <c r="I135" s="15" t="s">
        <v>2953</v>
      </c>
      <c r="J135" s="15" t="s">
        <v>2978</v>
      </c>
    </row>
    <row r="136" customFormat="false" ht="15" hidden="false" customHeight="false" outlineLevel="0" collapsed="false">
      <c r="A136" s="15" t="s">
        <v>2979</v>
      </c>
      <c r="B136" s="15" t="s">
        <v>2883</v>
      </c>
      <c r="C136" s="15" t="s">
        <v>2980</v>
      </c>
      <c r="D136" s="15" t="s">
        <v>2981</v>
      </c>
      <c r="E136" s="15" t="s">
        <v>2935</v>
      </c>
      <c r="F136" s="15" t="s">
        <v>2982</v>
      </c>
      <c r="G136" s="15" t="s">
        <v>2507</v>
      </c>
      <c r="H136" s="15" t="s">
        <v>2983</v>
      </c>
      <c r="I136" s="15" t="s">
        <v>75</v>
      </c>
      <c r="J136" s="15" t="s">
        <v>2984</v>
      </c>
    </row>
    <row r="137" customFormat="false" ht="15" hidden="false" customHeight="false" outlineLevel="0" collapsed="false">
      <c r="A137" s="15" t="s">
        <v>2985</v>
      </c>
      <c r="B137" s="15" t="s">
        <v>2883</v>
      </c>
      <c r="C137" s="15" t="s">
        <v>2986</v>
      </c>
      <c r="D137" s="15" t="s">
        <v>2987</v>
      </c>
      <c r="E137" s="15" t="s">
        <v>2988</v>
      </c>
      <c r="F137" s="15" t="s">
        <v>2989</v>
      </c>
      <c r="G137" s="15" t="s">
        <v>2507</v>
      </c>
      <c r="H137" s="15" t="s">
        <v>2990</v>
      </c>
      <c r="I137" s="15" t="s">
        <v>75</v>
      </c>
      <c r="J137" s="15" t="s">
        <v>2984</v>
      </c>
    </row>
    <row r="138" customFormat="false" ht="35.05" hidden="false" customHeight="false" outlineLevel="0" collapsed="false">
      <c r="A138" s="15" t="s">
        <v>2991</v>
      </c>
      <c r="B138" s="15" t="s">
        <v>2972</v>
      </c>
      <c r="C138" s="15" t="s">
        <v>2992</v>
      </c>
      <c r="D138" s="15" t="s">
        <v>2993</v>
      </c>
      <c r="E138" s="15" t="s">
        <v>2994</v>
      </c>
      <c r="F138" s="15" t="s">
        <v>2995</v>
      </c>
      <c r="G138" s="15" t="s">
        <v>2951</v>
      </c>
      <c r="H138" s="15" t="s">
        <v>2996</v>
      </c>
      <c r="I138" s="15" t="s">
        <v>2953</v>
      </c>
      <c r="J138" s="15" t="s">
        <v>2997</v>
      </c>
    </row>
    <row r="139" customFormat="false" ht="35.05" hidden="false" customHeight="false" outlineLevel="0" collapsed="false">
      <c r="A139" s="15" t="s">
        <v>2998</v>
      </c>
      <c r="B139" s="15" t="s">
        <v>2999</v>
      </c>
      <c r="C139" s="15" t="s">
        <v>3000</v>
      </c>
      <c r="D139" s="15" t="s">
        <v>3001</v>
      </c>
      <c r="E139" s="15" t="s">
        <v>3002</v>
      </c>
      <c r="F139" s="15" t="s">
        <v>3003</v>
      </c>
      <c r="G139" s="15" t="s">
        <v>2269</v>
      </c>
      <c r="H139" s="15" t="s">
        <v>3004</v>
      </c>
      <c r="I139" s="15" t="s">
        <v>73</v>
      </c>
      <c r="J139" s="15" t="s">
        <v>3005</v>
      </c>
    </row>
    <row r="140" customFormat="false" ht="35.05" hidden="false" customHeight="false" outlineLevel="0" collapsed="false">
      <c r="A140" s="15" t="s">
        <v>3006</v>
      </c>
      <c r="B140" s="15" t="s">
        <v>3007</v>
      </c>
      <c r="C140" s="15" t="s">
        <v>3008</v>
      </c>
      <c r="D140" s="15" t="s">
        <v>3009</v>
      </c>
      <c r="E140" s="15" t="s">
        <v>3010</v>
      </c>
      <c r="F140" s="15" t="s">
        <v>3011</v>
      </c>
      <c r="G140" s="15" t="s">
        <v>2173</v>
      </c>
      <c r="H140" s="15" t="s">
        <v>3012</v>
      </c>
      <c r="I140" s="15" t="s">
        <v>74</v>
      </c>
      <c r="J140" s="15" t="s">
        <v>3013</v>
      </c>
    </row>
  </sheetData>
  <autoFilter ref="A3:J1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2026-10-15T09:38:34Z</dcterms:created>
  <dc:creator>openpyxl</dc:creator>
  <dc:description/>
  <dc:language>en-US</dc:language>
  <cp:lastModifiedBy/>
  <dcterms:modified xsi:type="dcterms:W3CDTF">2026-10-15T09:38:35Z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